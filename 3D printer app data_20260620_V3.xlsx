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anoble/Github /filament-tracker/"/>
    </mc:Choice>
  </mc:AlternateContent>
  <xr:revisionPtr revIDLastSave="0" documentId="8_{086302D8-7D24-1641-9121-BEA1FDF10748}" xr6:coauthVersionLast="47" xr6:coauthVersionMax="47" xr10:uidLastSave="{00000000-0000-0000-0000-000000000000}"/>
  <bookViews>
    <workbookView xWindow="0" yWindow="660" windowWidth="30240" windowHeight="18980" activeTab="7" xr2:uid="{8BF59EB1-89CB-5D4C-A9E2-ED2B40742544}"/>
  </bookViews>
  <sheets>
    <sheet name="source data" sheetId="9" r:id="rId1"/>
    <sheet name="inventory_printer" sheetId="3" r:id="rId2"/>
    <sheet name="inventory_AMS" sheetId="4" r:id="rId3"/>
    <sheet name="inventory_filament" sheetId="5" r:id="rId4"/>
    <sheet name="inventory_accessories" sheetId="8" r:id="rId5"/>
    <sheet name="inventory_material" sheetId="6" r:id="rId6"/>
    <sheet name="inventroy_makers supply" sheetId="7" r:id="rId7"/>
    <sheet name="purchases" sheetId="12" r:id="rId8"/>
  </sheets>
  <definedNames>
    <definedName name="_xlnm._FilterDatabase" localSheetId="3" hidden="1">inventory_filament!$A$1:$Z$37</definedName>
    <definedName name="_xlnm._FilterDatabase" localSheetId="7" hidden="1">purchases!$A$1:$E$80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0" i="12" l="1"/>
  <c r="A19" i="12"/>
  <c r="A18" i="12"/>
  <c r="A17" i="12"/>
  <c r="A16" i="12"/>
  <c r="A15" i="12"/>
  <c r="A14" i="12"/>
  <c r="A80" i="12"/>
  <c r="A70" i="12"/>
  <c r="C1" i="6"/>
  <c r="B1" i="6"/>
  <c r="A79" i="12"/>
  <c r="A78" i="12"/>
  <c r="A77" i="12"/>
  <c r="A76" i="12"/>
  <c r="A55" i="12"/>
  <c r="A54" i="12"/>
  <c r="A53" i="12"/>
  <c r="A52" i="12"/>
  <c r="A51" i="12"/>
  <c r="A50" i="12"/>
  <c r="A49" i="12"/>
  <c r="A48" i="12"/>
  <c r="A47" i="12"/>
  <c r="A44" i="12"/>
  <c r="A46" i="12"/>
  <c r="A45" i="12"/>
  <c r="A43" i="12"/>
  <c r="A42" i="12"/>
  <c r="A41" i="12"/>
  <c r="A40" i="12"/>
  <c r="A39" i="12"/>
  <c r="A38" i="12"/>
  <c r="A37" i="12"/>
  <c r="A36" i="12"/>
  <c r="A35" i="12"/>
  <c r="A34" i="12"/>
  <c r="A32" i="12"/>
  <c r="O1" i="8"/>
  <c r="N1" i="8"/>
  <c r="M1" i="8"/>
  <c r="L1" i="8"/>
  <c r="K1" i="8"/>
  <c r="G1" i="7"/>
  <c r="F1" i="7"/>
  <c r="E1" i="7"/>
  <c r="D1" i="7"/>
  <c r="C1" i="7"/>
  <c r="B1" i="7"/>
  <c r="A75" i="12"/>
  <c r="A33" i="12"/>
  <c r="A31" i="12"/>
  <c r="A56" i="12"/>
  <c r="A21" i="12"/>
  <c r="T1" i="8"/>
  <c r="S1" i="8"/>
  <c r="A66" i="12"/>
  <c r="A74" i="12"/>
  <c r="A71" i="12"/>
  <c r="A69" i="12"/>
  <c r="A68" i="12"/>
  <c r="A73" i="12"/>
  <c r="A65" i="12"/>
  <c r="A64" i="12"/>
  <c r="A72" i="12"/>
  <c r="A67" i="12"/>
  <c r="A63" i="12"/>
  <c r="A60" i="12"/>
  <c r="A61" i="12"/>
  <c r="A62" i="12"/>
  <c r="A59" i="12"/>
  <c r="A57" i="12"/>
  <c r="A58" i="12"/>
  <c r="A29" i="12"/>
  <c r="A30" i="12"/>
  <c r="R1" i="8"/>
  <c r="Q1" i="8"/>
  <c r="A24" i="12"/>
  <c r="A23" i="12"/>
  <c r="A25" i="12"/>
  <c r="A8" i="12"/>
  <c r="A13" i="12"/>
  <c r="A7" i="12"/>
  <c r="A9" i="12"/>
  <c r="A10" i="12"/>
  <c r="A11" i="12"/>
  <c r="A12" i="12"/>
  <c r="A6" i="12"/>
  <c r="I1" i="5"/>
  <c r="A28" i="12"/>
  <c r="U1" i="8"/>
  <c r="P1" i="8"/>
  <c r="J1" i="8"/>
  <c r="I1" i="8"/>
  <c r="A27" i="12"/>
  <c r="A26" i="12"/>
  <c r="A22" i="12"/>
  <c r="A5" i="12"/>
  <c r="A4" i="12"/>
  <c r="A3" i="12"/>
  <c r="A2" i="12"/>
  <c r="D1" i="12"/>
  <c r="C1" i="12"/>
  <c r="B1" i="12"/>
  <c r="H1" i="8"/>
  <c r="G1" i="8"/>
  <c r="F1" i="8"/>
  <c r="E1" i="8"/>
  <c r="D1" i="8"/>
  <c r="C1" i="8"/>
  <c r="B1" i="8"/>
  <c r="V1" i="5"/>
  <c r="U1" i="5"/>
  <c r="O1" i="5"/>
  <c r="Z1" i="5"/>
  <c r="Y1" i="5"/>
  <c r="X1" i="5"/>
  <c r="W1" i="5"/>
  <c r="T1" i="5"/>
  <c r="S1" i="5"/>
  <c r="R1" i="5"/>
  <c r="Q1" i="5"/>
  <c r="P1" i="5"/>
  <c r="N1" i="5"/>
  <c r="M1" i="5"/>
  <c r="L1" i="5"/>
  <c r="K1" i="5"/>
  <c r="J1" i="5"/>
  <c r="H1" i="5"/>
  <c r="G1" i="5"/>
  <c r="F1" i="5"/>
  <c r="E1" i="5"/>
  <c r="D1" i="5"/>
  <c r="C1" i="5"/>
  <c r="B1" i="5"/>
  <c r="C1" i="4"/>
  <c r="B1" i="4"/>
  <c r="D1" i="3"/>
  <c r="C1" i="3"/>
  <c r="B1" i="3"/>
</calcChain>
</file>

<file path=xl/sharedStrings.xml><?xml version="1.0" encoding="utf-8"?>
<sst xmlns="http://schemas.openxmlformats.org/spreadsheetml/2006/main" count="880" uniqueCount="218">
  <si>
    <t>inventory_id</t>
  </si>
  <si>
    <t>purchase_date</t>
  </si>
  <si>
    <t>Bambu Lab</t>
  </si>
  <si>
    <t>A series</t>
  </si>
  <si>
    <t>Smooth PEI Plate</t>
  </si>
  <si>
    <t>Bambu</t>
  </si>
  <si>
    <t>build plate</t>
  </si>
  <si>
    <t>A1 mini</t>
  </si>
  <si>
    <t>consumables</t>
  </si>
  <si>
    <t>AMS</t>
  </si>
  <si>
    <t>AMS lite</t>
  </si>
  <si>
    <t>Dual-Texture PEI Plate</t>
  </si>
  <si>
    <t>Stainless Steel Flat Washer</t>
  </si>
  <si>
    <t>0.9x11 mm Helical Compression Spring</t>
  </si>
  <si>
    <t>spare parts</t>
  </si>
  <si>
    <t>Screws Kit - A1 Series and AMS lite</t>
  </si>
  <si>
    <t>all</t>
  </si>
  <si>
    <t>fastener</t>
  </si>
  <si>
    <t>printer</t>
  </si>
  <si>
    <t>accessories</t>
  </si>
  <si>
    <t>hotend</t>
  </si>
  <si>
    <t>PU</t>
  </si>
  <si>
    <t xml:space="preserve"> acrylic</t>
  </si>
  <si>
    <t xml:space="preserve"> metal</t>
  </si>
  <si>
    <t xml:space="preserve"> paper</t>
  </si>
  <si>
    <t>hardware</t>
  </si>
  <si>
    <t>filament_brand</t>
  </si>
  <si>
    <t>printer_brand</t>
  </si>
  <si>
    <t>AMS_brand</t>
  </si>
  <si>
    <t>eSUN</t>
  </si>
  <si>
    <t>accessories_brand</t>
  </si>
  <si>
    <t>material_brand</t>
  </si>
  <si>
    <t>makersSupply_brand</t>
  </si>
  <si>
    <t>filament_family</t>
  </si>
  <si>
    <t>filament_colourFamily</t>
  </si>
  <si>
    <t>filament</t>
  </si>
  <si>
    <t>material</t>
  </si>
  <si>
    <t>makers supply</t>
  </si>
  <si>
    <t>material_type</t>
  </si>
  <si>
    <t>makersSupply_type</t>
  </si>
  <si>
    <t>bambuLab_printerSeries</t>
  </si>
  <si>
    <t>filament_colourHEX</t>
  </si>
  <si>
    <t>PLA</t>
  </si>
  <si>
    <t>PETG</t>
  </si>
  <si>
    <t>Silk PLA</t>
  </si>
  <si>
    <t>TPU</t>
  </si>
  <si>
    <t>black</t>
  </si>
  <si>
    <t>blue</t>
  </si>
  <si>
    <t>PLA basic</t>
  </si>
  <si>
    <t>PLA matte</t>
  </si>
  <si>
    <t>Glow in the dark</t>
  </si>
  <si>
    <t>PLA+ HS</t>
  </si>
  <si>
    <t>PETG+ HS</t>
  </si>
  <si>
    <t>95A</t>
  </si>
  <si>
    <t>brown</t>
  </si>
  <si>
    <t>green</t>
  </si>
  <si>
    <t>grey</t>
  </si>
  <si>
    <t>orange</t>
  </si>
  <si>
    <t>pink</t>
  </si>
  <si>
    <t>purple</t>
  </si>
  <si>
    <t>red</t>
  </si>
  <si>
    <t>white</t>
  </si>
  <si>
    <t>yellow</t>
  </si>
  <si>
    <t>natural</t>
  </si>
  <si>
    <t>special</t>
  </si>
  <si>
    <t>scarlet red</t>
  </si>
  <si>
    <t>BambuLab_AMSmodel</t>
  </si>
  <si>
    <t>clear</t>
  </si>
  <si>
    <t>Bambu-PLA_type</t>
  </si>
  <si>
    <t>eSUN-PLA_type</t>
  </si>
  <si>
    <t>Bambu-PLA-basic_colourName</t>
  </si>
  <si>
    <t>Bambu-PLA-matte_colourName</t>
  </si>
  <si>
    <t>eSUN-PETG_type</t>
  </si>
  <si>
    <t>eSUN-PETG-standard_colourName</t>
  </si>
  <si>
    <t>eSUN-PETG-PETGplusHS_colourName</t>
  </si>
  <si>
    <t>eSUN-TPU_type</t>
  </si>
  <si>
    <t>eSUN-TPU-95A_colourName</t>
  </si>
  <si>
    <t>eSUN-PLA-standard_colourName</t>
  </si>
  <si>
    <t>eSUN-PLA-PLAplusHS_colourName</t>
  </si>
  <si>
    <t>sSUN-PLA-glowInDark_colourName</t>
  </si>
  <si>
    <t>warm white</t>
  </si>
  <si>
    <t>bone white</t>
  </si>
  <si>
    <t>dark blue</t>
  </si>
  <si>
    <t>space blue</t>
  </si>
  <si>
    <t>fire engine red</t>
  </si>
  <si>
    <t>silver</t>
  </si>
  <si>
    <t>gold</t>
  </si>
  <si>
    <t>pine green</t>
  </si>
  <si>
    <t>peak green</t>
  </si>
  <si>
    <t>olive green</t>
  </si>
  <si>
    <t>very peri</t>
  </si>
  <si>
    <t>light brown</t>
  </si>
  <si>
    <t>add new</t>
  </si>
  <si>
    <t>luminous green</t>
  </si>
  <si>
    <t>matte</t>
  </si>
  <si>
    <t>eSUN-PLA-matte_colourName</t>
  </si>
  <si>
    <t>milky white</t>
  </si>
  <si>
    <t>eSUN-PLA-silkPLA_type</t>
  </si>
  <si>
    <t>mystic triple colour</t>
  </si>
  <si>
    <t>eSUN-PLA-silkPLA-mysticTripleColour_colourName</t>
  </si>
  <si>
    <t>gold/red/green</t>
  </si>
  <si>
    <t>solid white</t>
  </si>
  <si>
    <t>solid green</t>
  </si>
  <si>
    <t>filament_AMScompatibility</t>
  </si>
  <si>
    <t>selection</t>
  </si>
  <si>
    <t>bambuLab-aSeries_printerModel</t>
  </si>
  <si>
    <t>filament_printerModelCompatibility</t>
  </si>
  <si>
    <t>none</t>
  </si>
  <si>
    <t>standard</t>
  </si>
  <si>
    <t>PLA-LW</t>
  </si>
  <si>
    <t>eSUN-PLA-PLALW_colourName</t>
  </si>
  <si>
    <t>skin / beige</t>
  </si>
  <si>
    <t>spool</t>
  </si>
  <si>
    <t>refill</t>
  </si>
  <si>
    <t>filament_spoolType</t>
  </si>
  <si>
    <t>purchase_orderNumber</t>
  </si>
  <si>
    <t>purchase_store</t>
  </si>
  <si>
    <t>filament_spoolSize</t>
  </si>
  <si>
    <t>1kg</t>
  </si>
  <si>
    <t>purchase_qty</t>
  </si>
  <si>
    <t>accessories_category</t>
  </si>
  <si>
    <t>300g</t>
  </si>
  <si>
    <t>hardened steel</t>
  </si>
  <si>
    <t>accessories_printerModelCompatibility</t>
  </si>
  <si>
    <t>buildPlate-A1mini_type</t>
  </si>
  <si>
    <t>hotend-A1mini_type</t>
  </si>
  <si>
    <t>hotend-A1mini-hardenedSteel_size</t>
  </si>
  <si>
    <t>0.2mm</t>
  </si>
  <si>
    <t>0.4mm</t>
  </si>
  <si>
    <t>0.6mm</t>
  </si>
  <si>
    <t>0.8mm</t>
  </si>
  <si>
    <t>hotend-A1mini-stainlessSteel_size</t>
  </si>
  <si>
    <t>upgrade</t>
  </si>
  <si>
    <t>cutting</t>
  </si>
  <si>
    <t>laser</t>
  </si>
  <si>
    <t>AU317201965</t>
  </si>
  <si>
    <t>Cubic Technology</t>
  </si>
  <si>
    <t>Amazon</t>
  </si>
  <si>
    <t>AU513926369539567617</t>
  </si>
  <si>
    <t>stainless steel</t>
  </si>
  <si>
    <t>AU528709429901545473</t>
  </si>
  <si>
    <t>upgrade_type</t>
  </si>
  <si>
    <t>spareParts_type</t>
  </si>
  <si>
    <t>consumables_type</t>
  </si>
  <si>
    <t>tools</t>
  </si>
  <si>
    <t>liquid glue</t>
  </si>
  <si>
    <t>249-0278704-5258267</t>
  </si>
  <si>
    <t>PLA+</t>
  </si>
  <si>
    <t>eSUN-PLA-PLAplus_colourName</t>
  </si>
  <si>
    <t>#80187SP</t>
  </si>
  <si>
    <t>filament dryer</t>
  </si>
  <si>
    <t>#81076SP</t>
  </si>
  <si>
    <t>#81094SP</t>
  </si>
  <si>
    <t>filament spool</t>
  </si>
  <si>
    <t>eBox Lite</t>
  </si>
  <si>
    <t>eSpool+ Polycarbonate</t>
  </si>
  <si>
    <t>#82431SP</t>
  </si>
  <si>
    <t>#83787SP</t>
  </si>
  <si>
    <t>AE8194931660002354</t>
  </si>
  <si>
    <t>Ali Express</t>
  </si>
  <si>
    <t>vacuum bags</t>
  </si>
  <si>
    <t>vacuum pump</t>
  </si>
  <si>
    <t>15Pcs Vacuum Bag</t>
  </si>
  <si>
    <t>ePump</t>
  </si>
  <si>
    <t>AE8194930811402354</t>
  </si>
  <si>
    <t>AU528997370155401217</t>
  </si>
  <si>
    <t>AU549075410098257920</t>
  </si>
  <si>
    <t>Cool Plate SuperTack</t>
  </si>
  <si>
    <t>filament accessories</t>
  </si>
  <si>
    <t>filamentAccessories_type</t>
  </si>
  <si>
    <t>filamentAccessories-filamentDryer_model</t>
  </si>
  <si>
    <t>filamentAccessories-filamentSpool_model</t>
  </si>
  <si>
    <t>filamentAccessories-vacuumBags_model</t>
  </si>
  <si>
    <t>filamentAccessories-vacuumPump_model</t>
  </si>
  <si>
    <t>hardware_type</t>
  </si>
  <si>
    <t>spring</t>
  </si>
  <si>
    <t>magnet</t>
  </si>
  <si>
    <t>fastener_type</t>
  </si>
  <si>
    <t>spring_type</t>
  </si>
  <si>
    <t>magnet_type</t>
  </si>
  <si>
    <t>screwsKit_type</t>
  </si>
  <si>
    <t>washer</t>
  </si>
  <si>
    <t>machine screw</t>
  </si>
  <si>
    <t>self tapping screw</t>
  </si>
  <si>
    <t>screwsKit-machineScrew_type</t>
  </si>
  <si>
    <t>screwsKit-selfTappingScrew_type</t>
  </si>
  <si>
    <t>screwsKit-washer_type</t>
  </si>
  <si>
    <t>screwsKit-spring_type</t>
  </si>
  <si>
    <t>M2x2.5 FHCS</t>
  </si>
  <si>
    <t>M2.5x5 FHCS</t>
  </si>
  <si>
    <t>BT2x5 SHCS</t>
  </si>
  <si>
    <t>BT2.6x5 SHCS</t>
  </si>
  <si>
    <t>BT2.3x7 SHCS</t>
  </si>
  <si>
    <t>BT2x8 SHCS</t>
  </si>
  <si>
    <t>BT2.6x14 SHCS</t>
  </si>
  <si>
    <t>BT2.6x8 SHCS</t>
  </si>
  <si>
    <t>BT3x8 SHCS</t>
  </si>
  <si>
    <t>BT3x12 SHCS</t>
  </si>
  <si>
    <t>M3x12 FHCS</t>
  </si>
  <si>
    <t>BT2x13 SHCS</t>
  </si>
  <si>
    <t>lubricant oil</t>
  </si>
  <si>
    <t>lubricant grease</t>
  </si>
  <si>
    <t>Hotend Heating Assembly - A1 Series</t>
  </si>
  <si>
    <t>Heatbed Nozzle Wiper - A1 mini</t>
  </si>
  <si>
    <t>Purge Wiper - A1 Series</t>
  </si>
  <si>
    <t>Replacement Filament Cutter</t>
  </si>
  <si>
    <t>Bambu Scraper 3 pcs</t>
  </si>
  <si>
    <t>PTFE Tubes</t>
  </si>
  <si>
    <t>Hotend Silicone Sock - A1 Series</t>
  </si>
  <si>
    <t>electronics</t>
  </si>
  <si>
    <t>D6x2 mm Round Magnet (20PCS) - CA004</t>
  </si>
  <si>
    <t>Extension Springs 0.4x3x10 mm BA001</t>
  </si>
  <si>
    <t>M2x4 BHCS Machine Screw AA162</t>
  </si>
  <si>
    <t>M3x10 FHCS Machine Screw AA188</t>
  </si>
  <si>
    <t>Section</t>
  </si>
  <si>
    <t>wood / bamboo</t>
  </si>
  <si>
    <t xml:space="preserve"> sticker / vinyl</t>
  </si>
  <si>
    <t>503-1454559-1125454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</si>
</sst>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CE3"/>
        <bgColor indexed="64"/>
      </patternFill>
    </fill>
    <fill>
      <patternFill patternType="solid">
        <fgColor rgb="FFC9C6FF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5" borderId="0" xfId="0" applyFill="1"/>
    <xf numFmtId="0" fontId="1" fillId="5" borderId="1" xfId="0" applyFont="1" applyFill="1" applyBorder="1"/>
    <xf numFmtId="0" fontId="0" fillId="6" borderId="0" xfId="0" applyFill="1"/>
    <xf numFmtId="0" fontId="1" fillId="6" borderId="1" xfId="0" applyFont="1" applyFill="1" applyBorder="1"/>
    <xf numFmtId="0" fontId="0" fillId="7" borderId="0" xfId="0" applyFill="1"/>
    <xf numFmtId="0" fontId="1" fillId="7" borderId="1" xfId="0" applyFont="1" applyFill="1" applyBorder="1"/>
    <xf numFmtId="0" fontId="1" fillId="4" borderId="0" xfId="0" applyFont="1" applyFill="1"/>
    <xf numFmtId="0" fontId="1" fillId="0" borderId="2" xfId="0" applyFont="1" applyBorder="1"/>
    <xf numFmtId="0" fontId="0" fillId="0" borderId="2" xfId="0" applyBorder="1"/>
    <xf numFmtId="0" fontId="0" fillId="5" borderId="1" xfId="0" applyFill="1" applyBorder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C6FF"/>
      <color rgb="FFFFFC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6365-C092-F541-8B14-1C3E41F9CDE3}">
  <dimension ref="A1:X73"/>
  <sheetViews>
    <sheetView topLeftCell="A40" zoomScaleNormal="100" workbookViewId="0">
      <selection activeCell="O76" sqref="O76"/>
    </sheetView>
  </sheetViews>
  <sheetFormatPr baseColWidth="10" defaultRowHeight="16" x14ac:dyDescent="0.2"/>
  <cols>
    <col min="1" max="1" width="43.1640625" style="2" bestFit="1" customWidth="1"/>
    <col min="2" max="2" width="34.83203125" bestFit="1" customWidth="1"/>
    <col min="3" max="3" width="30.83203125" bestFit="1" customWidth="1"/>
    <col min="4" max="4" width="26.83203125" bestFit="1" customWidth="1"/>
    <col min="5" max="5" width="19.6640625" bestFit="1" customWidth="1"/>
    <col min="6" max="6" width="25.5" bestFit="1" customWidth="1"/>
    <col min="7" max="7" width="19.33203125" bestFit="1" customWidth="1"/>
    <col min="8" max="8" width="21.6640625" bestFit="1" customWidth="1"/>
    <col min="9" max="9" width="27.33203125" bestFit="1" customWidth="1"/>
    <col min="10" max="10" width="21.6640625" bestFit="1" customWidth="1"/>
    <col min="11" max="11" width="19.33203125" bestFit="1" customWidth="1"/>
    <col min="12" max="12" width="9.83203125" bestFit="1" customWidth="1"/>
    <col min="13" max="13" width="9.1640625" bestFit="1" customWidth="1"/>
    <col min="14" max="14" width="21.6640625" bestFit="1" customWidth="1"/>
    <col min="15" max="15" width="19.6640625" bestFit="1" customWidth="1"/>
    <col min="16" max="16" width="7.83203125" bestFit="1" customWidth="1"/>
    <col min="17" max="17" width="3.83203125" bestFit="1" customWidth="1"/>
    <col min="18" max="18" width="5.5" bestFit="1" customWidth="1"/>
    <col min="19" max="19" width="10" bestFit="1" customWidth="1"/>
    <col min="20" max="20" width="9.83203125" bestFit="1" customWidth="1"/>
    <col min="21" max="21" width="8" bestFit="1" customWidth="1"/>
    <col min="22" max="22" width="10.5" bestFit="1" customWidth="1"/>
    <col min="23" max="23" width="6.33203125" bestFit="1" customWidth="1"/>
    <col min="24" max="25" width="7.83203125" bestFit="1" customWidth="1"/>
  </cols>
  <sheetData>
    <row r="1" spans="1:9" x14ac:dyDescent="0.2">
      <c r="A1" s="2" t="s">
        <v>214</v>
      </c>
      <c r="B1" s="4" t="s">
        <v>18</v>
      </c>
      <c r="C1" s="5" t="s">
        <v>9</v>
      </c>
      <c r="D1" s="6" t="s">
        <v>35</v>
      </c>
      <c r="E1" s="10" t="s">
        <v>19</v>
      </c>
      <c r="F1" s="12" t="s">
        <v>36</v>
      </c>
      <c r="G1" s="14" t="s">
        <v>37</v>
      </c>
    </row>
    <row r="3" spans="1:9" s="4" customFormat="1" x14ac:dyDescent="0.2">
      <c r="A3" s="7" t="s">
        <v>27</v>
      </c>
      <c r="B3" s="4" t="s">
        <v>2</v>
      </c>
      <c r="C3" s="4" t="s">
        <v>92</v>
      </c>
    </row>
    <row r="4" spans="1:9" s="4" customFormat="1" x14ac:dyDescent="0.2">
      <c r="A4" s="7" t="s">
        <v>40</v>
      </c>
      <c r="B4" s="4" t="s">
        <v>3</v>
      </c>
      <c r="C4" s="4" t="s">
        <v>92</v>
      </c>
    </row>
    <row r="5" spans="1:9" s="4" customFormat="1" x14ac:dyDescent="0.2">
      <c r="A5" s="7" t="s">
        <v>105</v>
      </c>
      <c r="B5" s="4" t="s">
        <v>7</v>
      </c>
      <c r="C5" s="4" t="s">
        <v>92</v>
      </c>
    </row>
    <row r="7" spans="1:9" s="5" customFormat="1" x14ac:dyDescent="0.2">
      <c r="A7" s="8" t="s">
        <v>28</v>
      </c>
      <c r="B7" s="5" t="s">
        <v>2</v>
      </c>
      <c r="C7" s="5" t="s">
        <v>92</v>
      </c>
    </row>
    <row r="8" spans="1:9" s="5" customFormat="1" x14ac:dyDescent="0.2">
      <c r="A8" s="8" t="s">
        <v>66</v>
      </c>
      <c r="B8" s="5" t="s">
        <v>10</v>
      </c>
      <c r="C8" s="5" t="s">
        <v>92</v>
      </c>
    </row>
    <row r="10" spans="1:9" s="6" customFormat="1" x14ac:dyDescent="0.2">
      <c r="A10" s="9" t="s">
        <v>26</v>
      </c>
      <c r="B10" s="6" t="s">
        <v>5</v>
      </c>
      <c r="C10" s="6" t="s">
        <v>29</v>
      </c>
      <c r="D10" s="6" t="s">
        <v>92</v>
      </c>
    </row>
    <row r="11" spans="1:9" s="6" customFormat="1" x14ac:dyDescent="0.2">
      <c r="A11" s="9" t="s">
        <v>33</v>
      </c>
      <c r="B11" s="6" t="s">
        <v>42</v>
      </c>
      <c r="C11" s="6" t="s">
        <v>43</v>
      </c>
      <c r="D11" s="6" t="s">
        <v>45</v>
      </c>
      <c r="E11" s="6" t="s">
        <v>92</v>
      </c>
    </row>
    <row r="12" spans="1:9" s="6" customFormat="1" x14ac:dyDescent="0.2">
      <c r="A12" s="9" t="s">
        <v>68</v>
      </c>
      <c r="B12" s="6" t="s">
        <v>48</v>
      </c>
      <c r="C12" s="6" t="s">
        <v>49</v>
      </c>
      <c r="D12" s="6" t="s">
        <v>92</v>
      </c>
    </row>
    <row r="13" spans="1:9" s="6" customFormat="1" x14ac:dyDescent="0.2">
      <c r="A13" s="9" t="s">
        <v>70</v>
      </c>
      <c r="B13" s="6" t="s">
        <v>46</v>
      </c>
      <c r="C13" s="6" t="s">
        <v>92</v>
      </c>
    </row>
    <row r="14" spans="1:9" s="6" customFormat="1" x14ac:dyDescent="0.2">
      <c r="A14" s="9" t="s">
        <v>71</v>
      </c>
      <c r="B14" s="6" t="s">
        <v>65</v>
      </c>
      <c r="C14" s="6" t="s">
        <v>92</v>
      </c>
    </row>
    <row r="15" spans="1:9" s="6" customFormat="1" x14ac:dyDescent="0.2">
      <c r="A15" s="9" t="s">
        <v>69</v>
      </c>
      <c r="B15" s="6" t="s">
        <v>108</v>
      </c>
      <c r="C15" s="6" t="s">
        <v>147</v>
      </c>
      <c r="D15" s="6" t="s">
        <v>51</v>
      </c>
      <c r="E15" s="6" t="s">
        <v>94</v>
      </c>
      <c r="F15" s="6" t="s">
        <v>44</v>
      </c>
      <c r="G15" s="6" t="s">
        <v>50</v>
      </c>
      <c r="H15" s="6" t="s">
        <v>109</v>
      </c>
      <c r="I15" s="6" t="s">
        <v>92</v>
      </c>
    </row>
    <row r="16" spans="1:9" s="6" customFormat="1" x14ac:dyDescent="0.2">
      <c r="A16" s="9" t="s">
        <v>77</v>
      </c>
      <c r="B16" s="6" t="s">
        <v>67</v>
      </c>
      <c r="C16" s="6" t="s">
        <v>92</v>
      </c>
    </row>
    <row r="17" spans="1:24" s="6" customFormat="1" x14ac:dyDescent="0.2">
      <c r="A17" s="9" t="s">
        <v>148</v>
      </c>
      <c r="B17" s="6" t="s">
        <v>80</v>
      </c>
      <c r="C17" s="6" t="s">
        <v>47</v>
      </c>
      <c r="D17" s="6" t="s">
        <v>60</v>
      </c>
      <c r="E17" s="6" t="s">
        <v>92</v>
      </c>
    </row>
    <row r="18" spans="1:24" s="6" customFormat="1" x14ac:dyDescent="0.2">
      <c r="A18" s="9" t="s">
        <v>78</v>
      </c>
      <c r="B18" s="6" t="s">
        <v>46</v>
      </c>
      <c r="C18" s="6" t="s">
        <v>47</v>
      </c>
      <c r="D18" s="6" t="s">
        <v>81</v>
      </c>
      <c r="E18" s="6" t="s">
        <v>54</v>
      </c>
      <c r="F18" s="6" t="s">
        <v>82</v>
      </c>
      <c r="G18" s="6" t="s">
        <v>84</v>
      </c>
      <c r="H18" s="6" t="s">
        <v>86</v>
      </c>
      <c r="I18" s="6" t="s">
        <v>55</v>
      </c>
      <c r="J18" s="6" t="s">
        <v>56</v>
      </c>
      <c r="K18" s="6" t="s">
        <v>91</v>
      </c>
      <c r="L18" s="6" t="s">
        <v>89</v>
      </c>
      <c r="M18" s="6" t="s">
        <v>57</v>
      </c>
      <c r="N18" s="6" t="s">
        <v>88</v>
      </c>
      <c r="O18" s="6" t="s">
        <v>87</v>
      </c>
      <c r="P18" s="6" t="s">
        <v>58</v>
      </c>
      <c r="Q18" s="6" t="s">
        <v>60</v>
      </c>
      <c r="R18" s="6" t="s">
        <v>85</v>
      </c>
      <c r="S18" s="6" t="s">
        <v>111</v>
      </c>
      <c r="T18" s="6" t="s">
        <v>83</v>
      </c>
      <c r="U18" s="6" t="s">
        <v>90</v>
      </c>
      <c r="V18" s="6" t="s">
        <v>80</v>
      </c>
      <c r="W18" s="6" t="s">
        <v>62</v>
      </c>
      <c r="X18" s="6" t="s">
        <v>92</v>
      </c>
    </row>
    <row r="19" spans="1:24" s="6" customFormat="1" x14ac:dyDescent="0.2">
      <c r="A19" s="9" t="s">
        <v>95</v>
      </c>
      <c r="B19" s="6" t="s">
        <v>96</v>
      </c>
      <c r="C19" s="6" t="s">
        <v>92</v>
      </c>
    </row>
    <row r="20" spans="1:24" s="6" customFormat="1" x14ac:dyDescent="0.2">
      <c r="A20" s="9" t="s">
        <v>97</v>
      </c>
      <c r="B20" s="6" t="s">
        <v>98</v>
      </c>
      <c r="C20" s="6" t="s">
        <v>92</v>
      </c>
    </row>
    <row r="21" spans="1:24" s="6" customFormat="1" x14ac:dyDescent="0.2">
      <c r="A21" s="9" t="s">
        <v>99</v>
      </c>
      <c r="B21" s="6" t="s">
        <v>100</v>
      </c>
      <c r="C21" s="6" t="s">
        <v>92</v>
      </c>
    </row>
    <row r="22" spans="1:24" s="6" customFormat="1" x14ac:dyDescent="0.2">
      <c r="A22" s="9" t="s">
        <v>79</v>
      </c>
      <c r="B22" s="6" t="s">
        <v>93</v>
      </c>
      <c r="C22" s="6" t="s">
        <v>92</v>
      </c>
    </row>
    <row r="23" spans="1:24" s="6" customFormat="1" x14ac:dyDescent="0.2">
      <c r="A23" s="9" t="s">
        <v>110</v>
      </c>
      <c r="B23" s="6" t="s">
        <v>61</v>
      </c>
      <c r="C23" s="6" t="s">
        <v>92</v>
      </c>
    </row>
    <row r="24" spans="1:24" s="6" customFormat="1" x14ac:dyDescent="0.2">
      <c r="A24" s="9" t="s">
        <v>72</v>
      </c>
      <c r="B24" s="6" t="s">
        <v>108</v>
      </c>
      <c r="C24" s="6" t="s">
        <v>52</v>
      </c>
      <c r="D24" s="6" t="s">
        <v>92</v>
      </c>
    </row>
    <row r="25" spans="1:24" s="6" customFormat="1" x14ac:dyDescent="0.2">
      <c r="A25" s="9" t="s">
        <v>73</v>
      </c>
      <c r="B25" s="6" t="s">
        <v>101</v>
      </c>
      <c r="C25" s="6" t="s">
        <v>92</v>
      </c>
    </row>
    <row r="26" spans="1:24" s="6" customFormat="1" x14ac:dyDescent="0.2">
      <c r="A26" s="9" t="s">
        <v>74</v>
      </c>
      <c r="B26" s="6" t="s">
        <v>102</v>
      </c>
      <c r="C26" s="6" t="s">
        <v>92</v>
      </c>
    </row>
    <row r="27" spans="1:24" s="6" customFormat="1" x14ac:dyDescent="0.2">
      <c r="A27" s="9" t="s">
        <v>75</v>
      </c>
      <c r="B27" s="6" t="s">
        <v>53</v>
      </c>
      <c r="C27" s="6" t="s">
        <v>92</v>
      </c>
    </row>
    <row r="28" spans="1:24" s="6" customFormat="1" x14ac:dyDescent="0.2">
      <c r="A28" s="9" t="s">
        <v>76</v>
      </c>
      <c r="B28" s="6" t="s">
        <v>46</v>
      </c>
      <c r="C28" s="6" t="s">
        <v>92</v>
      </c>
    </row>
    <row r="29" spans="1:24" s="6" customFormat="1" x14ac:dyDescent="0.2">
      <c r="A29" s="9" t="s">
        <v>114</v>
      </c>
      <c r="B29" s="6" t="s">
        <v>112</v>
      </c>
      <c r="C29" s="6" t="s">
        <v>113</v>
      </c>
      <c r="D29" s="6" t="s">
        <v>92</v>
      </c>
    </row>
    <row r="30" spans="1:24" s="6" customFormat="1" x14ac:dyDescent="0.2">
      <c r="A30" s="9" t="s">
        <v>117</v>
      </c>
      <c r="B30" s="16" t="s">
        <v>121</v>
      </c>
      <c r="C30" s="6" t="s">
        <v>118</v>
      </c>
      <c r="D30" s="6" t="s">
        <v>92</v>
      </c>
    </row>
    <row r="31" spans="1:24" s="6" customFormat="1" x14ac:dyDescent="0.2">
      <c r="A31" s="9" t="s">
        <v>34</v>
      </c>
      <c r="B31" s="6" t="s">
        <v>46</v>
      </c>
      <c r="C31" s="6" t="s">
        <v>47</v>
      </c>
      <c r="D31" s="6" t="s">
        <v>54</v>
      </c>
      <c r="E31" s="6" t="s">
        <v>55</v>
      </c>
      <c r="F31" s="6" t="s">
        <v>56</v>
      </c>
      <c r="G31" s="6" t="s">
        <v>57</v>
      </c>
      <c r="H31" s="6" t="s">
        <v>58</v>
      </c>
      <c r="I31" s="6" t="s">
        <v>59</v>
      </c>
      <c r="J31" s="6" t="s">
        <v>60</v>
      </c>
      <c r="K31" s="6" t="s">
        <v>61</v>
      </c>
      <c r="L31" s="6" t="s">
        <v>62</v>
      </c>
      <c r="M31" s="6" t="s">
        <v>63</v>
      </c>
      <c r="N31" s="6" t="s">
        <v>64</v>
      </c>
      <c r="O31" s="6" t="s">
        <v>92</v>
      </c>
    </row>
    <row r="32" spans="1:24" s="6" customFormat="1" x14ac:dyDescent="0.2">
      <c r="A32" s="9" t="s">
        <v>41</v>
      </c>
    </row>
    <row r="33" spans="1:11" s="4" customFormat="1" x14ac:dyDescent="0.2">
      <c r="A33" s="9" t="s">
        <v>106</v>
      </c>
      <c r="B33" s="4" t="s">
        <v>7</v>
      </c>
      <c r="C33" s="4" t="s">
        <v>104</v>
      </c>
      <c r="D33" s="4" t="s">
        <v>16</v>
      </c>
    </row>
    <row r="34" spans="1:11" s="5" customFormat="1" x14ac:dyDescent="0.2">
      <c r="A34" s="9" t="s">
        <v>103</v>
      </c>
      <c r="B34" s="5" t="s">
        <v>10</v>
      </c>
      <c r="C34" s="5" t="s">
        <v>104</v>
      </c>
      <c r="D34" s="5" t="s">
        <v>16</v>
      </c>
      <c r="E34" s="5" t="s">
        <v>107</v>
      </c>
    </row>
    <row r="36" spans="1:11" s="10" customFormat="1" x14ac:dyDescent="0.2">
      <c r="A36" s="11" t="s">
        <v>30</v>
      </c>
      <c r="B36" s="10" t="s">
        <v>5</v>
      </c>
      <c r="C36" s="10" t="s">
        <v>29</v>
      </c>
      <c r="D36" s="10" t="s">
        <v>92</v>
      </c>
    </row>
    <row r="37" spans="1:11" s="10" customFormat="1" x14ac:dyDescent="0.2">
      <c r="A37" s="11" t="s">
        <v>120</v>
      </c>
      <c r="B37" s="10" t="s">
        <v>6</v>
      </c>
      <c r="C37" s="10" t="s">
        <v>20</v>
      </c>
      <c r="D37" s="10" t="s">
        <v>132</v>
      </c>
      <c r="E37" s="10" t="s">
        <v>14</v>
      </c>
      <c r="F37" s="10" t="s">
        <v>168</v>
      </c>
      <c r="G37" s="10" t="s">
        <v>8</v>
      </c>
      <c r="H37" s="10" t="s">
        <v>133</v>
      </c>
      <c r="I37" s="10" t="s">
        <v>134</v>
      </c>
      <c r="J37" s="10" t="s">
        <v>92</v>
      </c>
    </row>
    <row r="38" spans="1:11" s="4" customFormat="1" x14ac:dyDescent="0.2">
      <c r="A38" s="11" t="s">
        <v>123</v>
      </c>
      <c r="B38" s="4" t="s">
        <v>7</v>
      </c>
      <c r="C38" s="4" t="s">
        <v>104</v>
      </c>
      <c r="D38" s="4" t="s">
        <v>16</v>
      </c>
    </row>
    <row r="39" spans="1:11" s="10" customFormat="1" x14ac:dyDescent="0.2">
      <c r="A39" s="11" t="s">
        <v>124</v>
      </c>
      <c r="B39" s="10" t="s">
        <v>4</v>
      </c>
      <c r="C39" s="10" t="s">
        <v>11</v>
      </c>
      <c r="D39" s="10" t="s">
        <v>167</v>
      </c>
      <c r="E39" s="10" t="s">
        <v>92</v>
      </c>
    </row>
    <row r="40" spans="1:11" s="10" customFormat="1" x14ac:dyDescent="0.2">
      <c r="A40" s="11" t="s">
        <v>125</v>
      </c>
      <c r="B40" s="10" t="s">
        <v>139</v>
      </c>
      <c r="C40" s="10" t="s">
        <v>122</v>
      </c>
      <c r="D40" s="10" t="s">
        <v>92</v>
      </c>
    </row>
    <row r="41" spans="1:11" s="10" customFormat="1" x14ac:dyDescent="0.2">
      <c r="A41" s="11" t="s">
        <v>131</v>
      </c>
      <c r="B41" s="10" t="s">
        <v>127</v>
      </c>
      <c r="C41" s="10" t="s">
        <v>128</v>
      </c>
      <c r="D41" s="10" t="s">
        <v>92</v>
      </c>
    </row>
    <row r="42" spans="1:11" s="10" customFormat="1" x14ac:dyDescent="0.2">
      <c r="A42" s="11" t="s">
        <v>126</v>
      </c>
      <c r="B42" s="10" t="s">
        <v>128</v>
      </c>
      <c r="C42" s="10" t="s">
        <v>129</v>
      </c>
      <c r="D42" s="10" t="s">
        <v>130</v>
      </c>
      <c r="E42" s="10" t="s">
        <v>92</v>
      </c>
    </row>
    <row r="43" spans="1:11" s="10" customFormat="1" x14ac:dyDescent="0.2">
      <c r="A43" s="11" t="s">
        <v>141</v>
      </c>
    </row>
    <row r="44" spans="1:11" s="10" customFormat="1" x14ac:dyDescent="0.2">
      <c r="A44" s="11" t="s">
        <v>142</v>
      </c>
      <c r="B44" s="10" t="s">
        <v>15</v>
      </c>
      <c r="C44" s="10" t="s">
        <v>202</v>
      </c>
      <c r="D44" s="10" t="s">
        <v>203</v>
      </c>
      <c r="E44" s="10" t="s">
        <v>204</v>
      </c>
      <c r="F44" s="10" t="s">
        <v>205</v>
      </c>
      <c r="G44" s="10" t="s">
        <v>206</v>
      </c>
      <c r="H44" s="10" t="s">
        <v>207</v>
      </c>
      <c r="I44" s="10" t="s">
        <v>208</v>
      </c>
      <c r="J44" s="10" t="s">
        <v>92</v>
      </c>
    </row>
    <row r="45" spans="1:11" s="10" customFormat="1" x14ac:dyDescent="0.2">
      <c r="A45" s="11" t="s">
        <v>180</v>
      </c>
      <c r="B45" s="10" t="s">
        <v>182</v>
      </c>
      <c r="C45" s="10" t="s">
        <v>183</v>
      </c>
      <c r="D45" s="10" t="s">
        <v>181</v>
      </c>
      <c r="E45" s="10" t="s">
        <v>175</v>
      </c>
      <c r="F45" s="10" t="s">
        <v>92</v>
      </c>
    </row>
    <row r="46" spans="1:11" s="10" customFormat="1" x14ac:dyDescent="0.2">
      <c r="A46" s="11" t="s">
        <v>184</v>
      </c>
      <c r="B46" s="10" t="s">
        <v>188</v>
      </c>
      <c r="C46" s="10" t="s">
        <v>189</v>
      </c>
      <c r="D46" s="10" t="s">
        <v>198</v>
      </c>
      <c r="E46" s="10" t="s">
        <v>92</v>
      </c>
    </row>
    <row r="47" spans="1:11" s="10" customFormat="1" x14ac:dyDescent="0.2">
      <c r="A47" s="11" t="s">
        <v>185</v>
      </c>
      <c r="B47" s="10" t="s">
        <v>190</v>
      </c>
      <c r="C47" s="10" t="s">
        <v>191</v>
      </c>
      <c r="D47" s="10" t="s">
        <v>192</v>
      </c>
      <c r="E47" s="10" t="s">
        <v>193</v>
      </c>
      <c r="F47" s="10" t="s">
        <v>194</v>
      </c>
      <c r="G47" s="10" t="s">
        <v>195</v>
      </c>
      <c r="H47" s="10" t="s">
        <v>196</v>
      </c>
      <c r="I47" s="10" t="s">
        <v>197</v>
      </c>
      <c r="J47" s="10" t="s">
        <v>199</v>
      </c>
      <c r="K47" s="10" t="s">
        <v>92</v>
      </c>
    </row>
    <row r="48" spans="1:11" s="10" customFormat="1" x14ac:dyDescent="0.2">
      <c r="A48" s="11" t="s">
        <v>186</v>
      </c>
      <c r="B48" s="10" t="s">
        <v>12</v>
      </c>
      <c r="C48" s="10" t="s">
        <v>92</v>
      </c>
    </row>
    <row r="49" spans="1:8" s="10" customFormat="1" x14ac:dyDescent="0.2">
      <c r="A49" s="11" t="s">
        <v>187</v>
      </c>
      <c r="B49" s="10" t="s">
        <v>13</v>
      </c>
      <c r="C49" s="10" t="s">
        <v>92</v>
      </c>
    </row>
    <row r="50" spans="1:8" s="10" customFormat="1" x14ac:dyDescent="0.2">
      <c r="A50" s="11" t="s">
        <v>169</v>
      </c>
      <c r="B50" s="10" t="s">
        <v>150</v>
      </c>
      <c r="C50" s="10" t="s">
        <v>153</v>
      </c>
      <c r="D50" s="10" t="s">
        <v>160</v>
      </c>
      <c r="E50" s="10" t="s">
        <v>161</v>
      </c>
      <c r="F50" s="10" t="s">
        <v>92</v>
      </c>
    </row>
    <row r="51" spans="1:8" s="10" customFormat="1" x14ac:dyDescent="0.2">
      <c r="A51" s="11" t="s">
        <v>170</v>
      </c>
      <c r="B51" s="10" t="s">
        <v>154</v>
      </c>
      <c r="C51" s="10" t="s">
        <v>92</v>
      </c>
    </row>
    <row r="52" spans="1:8" s="10" customFormat="1" x14ac:dyDescent="0.2">
      <c r="A52" s="11" t="s">
        <v>171</v>
      </c>
      <c r="B52" s="10" t="s">
        <v>155</v>
      </c>
      <c r="C52" s="10" t="s">
        <v>92</v>
      </c>
    </row>
    <row r="53" spans="1:8" s="10" customFormat="1" x14ac:dyDescent="0.2">
      <c r="A53" s="11" t="s">
        <v>172</v>
      </c>
      <c r="B53" s="10" t="s">
        <v>162</v>
      </c>
      <c r="C53" s="10" t="s">
        <v>92</v>
      </c>
    </row>
    <row r="54" spans="1:8" s="10" customFormat="1" x14ac:dyDescent="0.2">
      <c r="A54" s="11" t="s">
        <v>173</v>
      </c>
      <c r="B54" s="10" t="s">
        <v>163</v>
      </c>
      <c r="C54" s="10" t="s">
        <v>92</v>
      </c>
    </row>
    <row r="55" spans="1:8" s="10" customFormat="1" x14ac:dyDescent="0.2">
      <c r="A55" s="11" t="s">
        <v>143</v>
      </c>
      <c r="B55" s="10" t="s">
        <v>145</v>
      </c>
      <c r="C55" s="10" t="s">
        <v>200</v>
      </c>
      <c r="D55" s="10" t="s">
        <v>201</v>
      </c>
      <c r="E55" s="10" t="s">
        <v>92</v>
      </c>
    </row>
    <row r="56" spans="1:8" s="10" customFormat="1" x14ac:dyDescent="0.2">
      <c r="A56" s="19"/>
    </row>
    <row r="57" spans="1:8" s="1" customFormat="1" x14ac:dyDescent="0.2">
      <c r="A57" s="2"/>
    </row>
    <row r="58" spans="1:8" s="12" customFormat="1" x14ac:dyDescent="0.2">
      <c r="A58" s="13" t="s">
        <v>31</v>
      </c>
      <c r="B58" s="12" t="s">
        <v>5</v>
      </c>
      <c r="C58" s="12" t="s">
        <v>92</v>
      </c>
    </row>
    <row r="59" spans="1:8" s="12" customFormat="1" x14ac:dyDescent="0.2">
      <c r="A59" s="13" t="s">
        <v>38</v>
      </c>
      <c r="B59" s="12" t="s">
        <v>215</v>
      </c>
      <c r="C59" s="12" t="s">
        <v>21</v>
      </c>
      <c r="D59" s="12" t="s">
        <v>22</v>
      </c>
      <c r="E59" s="12" t="s">
        <v>23</v>
      </c>
      <c r="F59" s="12" t="s">
        <v>24</v>
      </c>
      <c r="G59" s="12" t="s">
        <v>216</v>
      </c>
      <c r="H59" s="12" t="s">
        <v>92</v>
      </c>
    </row>
    <row r="60" spans="1:8" s="12" customFormat="1" x14ac:dyDescent="0.2">
      <c r="A60" s="13"/>
    </row>
    <row r="62" spans="1:8" s="14" customFormat="1" x14ac:dyDescent="0.2">
      <c r="A62" s="15" t="s">
        <v>32</v>
      </c>
      <c r="B62" s="14" t="s">
        <v>5</v>
      </c>
      <c r="C62" s="14" t="s">
        <v>92</v>
      </c>
    </row>
    <row r="63" spans="1:8" s="14" customFormat="1" x14ac:dyDescent="0.2">
      <c r="A63" s="15" t="s">
        <v>39</v>
      </c>
      <c r="B63" s="14" t="s">
        <v>25</v>
      </c>
      <c r="C63" s="14" t="s">
        <v>209</v>
      </c>
      <c r="D63" s="14" t="s">
        <v>144</v>
      </c>
      <c r="E63" s="14" t="s">
        <v>92</v>
      </c>
    </row>
    <row r="64" spans="1:8" s="14" customFormat="1" x14ac:dyDescent="0.2">
      <c r="A64" s="15" t="s">
        <v>174</v>
      </c>
      <c r="B64" s="14" t="s">
        <v>17</v>
      </c>
      <c r="C64" s="14" t="s">
        <v>175</v>
      </c>
      <c r="D64" s="14" t="s">
        <v>176</v>
      </c>
      <c r="E64" s="14" t="s">
        <v>92</v>
      </c>
    </row>
    <row r="65" spans="1:16" s="14" customFormat="1" x14ac:dyDescent="0.2">
      <c r="A65" s="15" t="s">
        <v>177</v>
      </c>
      <c r="B65" s="14" t="s">
        <v>212</v>
      </c>
      <c r="C65" s="14" t="s">
        <v>213</v>
      </c>
      <c r="D65" s="14" t="s">
        <v>92</v>
      </c>
    </row>
    <row r="66" spans="1:16" s="14" customFormat="1" x14ac:dyDescent="0.2">
      <c r="A66" s="15" t="s">
        <v>178</v>
      </c>
      <c r="B66" s="14" t="s">
        <v>211</v>
      </c>
      <c r="C66" s="14" t="s">
        <v>92</v>
      </c>
    </row>
    <row r="67" spans="1:16" s="14" customFormat="1" x14ac:dyDescent="0.2">
      <c r="A67" s="15" t="s">
        <v>179</v>
      </c>
      <c r="B67" s="14" t="s">
        <v>210</v>
      </c>
      <c r="C67" s="14" t="s">
        <v>92</v>
      </c>
    </row>
    <row r="68" spans="1:16" s="14" customFormat="1" x14ac:dyDescent="0.2">
      <c r="A68" s="15"/>
    </row>
    <row r="70" spans="1:16" x14ac:dyDescent="0.2">
      <c r="A70" s="3" t="s">
        <v>1</v>
      </c>
      <c r="B70" s="20">
        <v>45539</v>
      </c>
      <c r="C70" s="20">
        <v>45556</v>
      </c>
      <c r="D70" s="20">
        <v>45578</v>
      </c>
      <c r="E70" s="20">
        <v>45596</v>
      </c>
      <c r="F70" s="20">
        <v>45597</v>
      </c>
      <c r="G70" s="20">
        <v>45598</v>
      </c>
      <c r="H70" s="20">
        <v>45613</v>
      </c>
      <c r="I70" s="20">
        <v>45622</v>
      </c>
      <c r="J70" s="20">
        <v>45652</v>
      </c>
      <c r="K70" s="20">
        <v>45653</v>
      </c>
      <c r="L70" s="20">
        <v>46192</v>
      </c>
      <c r="M70" t="s">
        <v>92</v>
      </c>
    </row>
    <row r="71" spans="1:16" x14ac:dyDescent="0.2">
      <c r="A71" s="3" t="s">
        <v>115</v>
      </c>
      <c r="B71" t="s">
        <v>135</v>
      </c>
      <c r="C71" t="s">
        <v>138</v>
      </c>
      <c r="D71" t="s">
        <v>146</v>
      </c>
      <c r="E71" t="s">
        <v>149</v>
      </c>
      <c r="F71" t="s">
        <v>151</v>
      </c>
      <c r="G71" s="21" t="s">
        <v>158</v>
      </c>
      <c r="H71" t="s">
        <v>140</v>
      </c>
      <c r="I71" t="s">
        <v>152</v>
      </c>
      <c r="J71" t="s">
        <v>165</v>
      </c>
      <c r="K71" t="s">
        <v>164</v>
      </c>
      <c r="L71" t="s">
        <v>156</v>
      </c>
      <c r="M71" t="s">
        <v>157</v>
      </c>
      <c r="N71" t="s">
        <v>166</v>
      </c>
      <c r="O71" t="s">
        <v>217</v>
      </c>
      <c r="P71" t="s">
        <v>92</v>
      </c>
    </row>
    <row r="72" spans="1:16" x14ac:dyDescent="0.2">
      <c r="A72" s="3" t="s">
        <v>116</v>
      </c>
      <c r="B72" t="s">
        <v>2</v>
      </c>
      <c r="C72" t="s">
        <v>136</v>
      </c>
      <c r="D72" t="s">
        <v>137</v>
      </c>
      <c r="E72" t="s">
        <v>159</v>
      </c>
      <c r="F72" t="s">
        <v>92</v>
      </c>
    </row>
    <row r="73" spans="1:16" x14ac:dyDescent="0.2">
      <c r="A7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2F76-44BC-9144-87B1-4E8E9D6099A9}">
  <dimension ref="A1:D2"/>
  <sheetViews>
    <sheetView workbookViewId="0">
      <selection activeCell="C7" sqref="C7"/>
    </sheetView>
  </sheetViews>
  <sheetFormatPr baseColWidth="10" defaultRowHeight="16" x14ac:dyDescent="0.2"/>
  <cols>
    <col min="1" max="1" width="11" bestFit="1" customWidth="1"/>
    <col min="2" max="2" width="12.1640625" bestFit="1" customWidth="1"/>
    <col min="3" max="3" width="21" bestFit="1" customWidth="1"/>
    <col min="4" max="4" width="28" bestFit="1" customWidth="1"/>
  </cols>
  <sheetData>
    <row r="1" spans="1:4" x14ac:dyDescent="0.2">
      <c r="A1" t="s">
        <v>0</v>
      </c>
      <c r="B1" t="str">
        <f>'source data'!A3</f>
        <v>printer_brand</v>
      </c>
      <c r="C1" t="str">
        <f>'source data'!A4</f>
        <v>bambuLab_printerSeries</v>
      </c>
      <c r="D1" t="str">
        <f>'source data'!A5</f>
        <v>bambuLab-aSeries_printerModel</v>
      </c>
    </row>
    <row r="2" spans="1:4" x14ac:dyDescent="0.2">
      <c r="A2">
        <v>1</v>
      </c>
      <c r="B2" t="s">
        <v>2</v>
      </c>
      <c r="C2" t="s">
        <v>3</v>
      </c>
      <c r="D2" t="s">
        <v>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3B06B28-DFED-9842-B20A-D105BC8ACC99}">
          <x14:formula1>
            <xm:f>'source data'!$B$5:$C$5</xm:f>
          </x14:formula1>
          <xm:sqref>D2</xm:sqref>
        </x14:dataValidation>
        <x14:dataValidation type="list" allowBlank="1" showInputMessage="1" showErrorMessage="1" xr:uid="{724D710E-E6E8-D94A-B8B1-171F28A1A550}">
          <x14:formula1>
            <xm:f>'source data'!$B$3:$C$3</xm:f>
          </x14:formula1>
          <xm:sqref>B2</xm:sqref>
        </x14:dataValidation>
        <x14:dataValidation type="list" allowBlank="1" showInputMessage="1" showErrorMessage="1" xr:uid="{8673CF81-1324-9542-9E0F-657C4CF6806D}">
          <x14:formula1>
            <xm:f>'source data'!$B$4:$C$4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4379F-406F-CD48-AAAA-A4565062CCE3}">
  <dimension ref="A1:C2"/>
  <sheetViews>
    <sheetView workbookViewId="0">
      <selection activeCell="D12" sqref="D12"/>
    </sheetView>
  </sheetViews>
  <sheetFormatPr baseColWidth="10" defaultRowHeight="16" x14ac:dyDescent="0.2"/>
  <cols>
    <col min="1" max="1" width="11" bestFit="1" customWidth="1"/>
    <col min="2" max="2" width="10.1640625" bestFit="1" customWidth="1"/>
    <col min="3" max="3" width="19.1640625" bestFit="1" customWidth="1"/>
  </cols>
  <sheetData>
    <row r="1" spans="1:3" x14ac:dyDescent="0.2">
      <c r="A1" t="s">
        <v>0</v>
      </c>
      <c r="B1" t="str">
        <f>'source data'!A7</f>
        <v>AMS_brand</v>
      </c>
      <c r="C1" t="str">
        <f>'source data'!A8</f>
        <v>BambuLab_AMSmodel</v>
      </c>
    </row>
    <row r="2" spans="1:3" x14ac:dyDescent="0.2">
      <c r="A2">
        <v>50</v>
      </c>
      <c r="B2" t="s">
        <v>2</v>
      </c>
      <c r="C2" t="s">
        <v>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5A53148-6260-D545-8536-CD99D5E4577B}">
          <x14:formula1>
            <xm:f>'source data'!$B$8:$C$8</xm:f>
          </x14:formula1>
          <xm:sqref>C2</xm:sqref>
        </x14:dataValidation>
        <x14:dataValidation type="list" allowBlank="1" showInputMessage="1" showErrorMessage="1" xr:uid="{96470DA5-530A-FA40-8C9A-B28D3E9D59EF}">
          <x14:formula1>
            <xm:f>'source data'!$B$7:$C$7</xm:f>
          </x14:formula1>
          <xm:sqref>B2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C6E8-5AC8-A34F-873F-758CA63BF9AE}">
  <dimension ref="A1:Z37"/>
  <sheetViews>
    <sheetView zoomScaleNormal="100" workbookViewId="0">
      <selection activeCell="G36" sqref="G36"/>
    </sheetView>
  </sheetViews>
  <sheetFormatPr baseColWidth="10" defaultRowHeight="16" x14ac:dyDescent="0.2"/>
  <cols>
    <col min="1" max="1" width="13.5" bestFit="1" customWidth="1"/>
    <col min="2" max="2" width="15.83203125" bestFit="1" customWidth="1"/>
    <col min="3" max="3" width="16" bestFit="1" customWidth="1"/>
    <col min="4" max="4" width="17.1640625" style="18" bestFit="1" customWidth="1"/>
    <col min="5" max="5" width="29.1640625" bestFit="1" customWidth="1"/>
    <col min="6" max="6" width="29.6640625" bestFit="1" customWidth="1"/>
    <col min="7" max="7" width="16" bestFit="1" customWidth="1"/>
    <col min="8" max="8" width="30.83203125" bestFit="1" customWidth="1"/>
    <col min="9" max="9" width="30.83203125" customWidth="1"/>
    <col min="10" max="10" width="32.1640625" bestFit="1" customWidth="1"/>
    <col min="11" max="11" width="28.33203125" bestFit="1" customWidth="1"/>
    <col min="12" max="12" width="22.33203125" bestFit="1" customWidth="1"/>
    <col min="13" max="13" width="45.6640625" bestFit="1" customWidth="1"/>
    <col min="14" max="14" width="32.5" bestFit="1" customWidth="1"/>
    <col min="15" max="15" width="28.83203125" bestFit="1" customWidth="1"/>
    <col min="16" max="16" width="17.33203125" bestFit="1" customWidth="1"/>
    <col min="17" max="17" width="32.1640625" bestFit="1" customWidth="1"/>
    <col min="18" max="18" width="35" bestFit="1" customWidth="1"/>
    <col min="19" max="19" width="16.1640625" bestFit="1" customWidth="1"/>
    <col min="20" max="20" width="26.6640625" style="3" bestFit="1" customWidth="1"/>
    <col min="21" max="21" width="19.33203125" bestFit="1" customWidth="1"/>
    <col min="22" max="22" width="19" bestFit="1" customWidth="1"/>
    <col min="23" max="23" width="21.83203125" bestFit="1" customWidth="1"/>
    <col min="24" max="24" width="19.83203125" bestFit="1" customWidth="1"/>
    <col min="25" max="25" width="33.1640625" bestFit="1" customWidth="1"/>
    <col min="26" max="26" width="25.6640625" bestFit="1" customWidth="1"/>
  </cols>
  <sheetData>
    <row r="1" spans="1:26" x14ac:dyDescent="0.2">
      <c r="A1" t="s">
        <v>0</v>
      </c>
      <c r="B1" s="1" t="str">
        <f>'source data'!A10</f>
        <v>filament_brand</v>
      </c>
      <c r="C1" s="1" t="str">
        <f>'source data'!A11</f>
        <v>filament_family</v>
      </c>
      <c r="D1" s="17" t="str">
        <f>'source data'!A12</f>
        <v>Bambu-PLA_type</v>
      </c>
      <c r="E1" s="1" t="str">
        <f>'source data'!A13</f>
        <v>Bambu-PLA-basic_colourName</v>
      </c>
      <c r="F1" s="1" t="str">
        <f>'source data'!A14</f>
        <v>Bambu-PLA-matte_colourName</v>
      </c>
      <c r="G1" s="1" t="str">
        <f>'source data'!A15</f>
        <v>eSUN-PLA_type</v>
      </c>
      <c r="H1" s="1" t="str">
        <f>'source data'!A16</f>
        <v>eSUN-PLA-standard_colourName</v>
      </c>
      <c r="I1" s="1" t="str">
        <f>'source data'!A17</f>
        <v>eSUN-PLA-PLAplus_colourName</v>
      </c>
      <c r="J1" s="1" t="str">
        <f>'source data'!A18</f>
        <v>eSUN-PLA-PLAplusHS_colourName</v>
      </c>
      <c r="K1" s="1" t="str">
        <f>'source data'!A19</f>
        <v>eSUN-PLA-matte_colourName</v>
      </c>
      <c r="L1" s="1" t="str">
        <f>'source data'!A20</f>
        <v>eSUN-PLA-silkPLA_type</v>
      </c>
      <c r="M1" s="1" t="str">
        <f>'source data'!A21</f>
        <v>eSUN-PLA-silkPLA-mysticTripleColour_colourName</v>
      </c>
      <c r="N1" s="1" t="str">
        <f>'source data'!A22</f>
        <v>sSUN-PLA-glowInDark_colourName</v>
      </c>
      <c r="O1" s="1" t="str">
        <f>'source data'!A23</f>
        <v>eSUN-PLA-PLALW_colourName</v>
      </c>
      <c r="P1" s="1" t="str">
        <f>'source data'!A24</f>
        <v>eSUN-PETG_type</v>
      </c>
      <c r="Q1" s="1" t="str">
        <f>'source data'!A25</f>
        <v>eSUN-PETG-standard_colourName</v>
      </c>
      <c r="R1" s="1" t="str">
        <f>'source data'!A26</f>
        <v>eSUN-PETG-PETGplusHS_colourName</v>
      </c>
      <c r="S1" s="1" t="str">
        <f>'source data'!A27</f>
        <v>eSUN-TPU_type</v>
      </c>
      <c r="T1" s="2" t="str">
        <f>'source data'!A28</f>
        <v>eSUN-TPU-95A_colourName</v>
      </c>
      <c r="U1" s="1" t="str">
        <f>'source data'!A29</f>
        <v>filament_spoolType</v>
      </c>
      <c r="V1" s="1" t="str">
        <f>'source data'!A30</f>
        <v>filament_spoolSize</v>
      </c>
      <c r="W1" s="1" t="str">
        <f>'source data'!A31</f>
        <v>filament_colourFamily</v>
      </c>
      <c r="X1" s="1" t="str">
        <f>'source data'!A32</f>
        <v>filament_colourHEX</v>
      </c>
      <c r="Y1" s="1" t="str">
        <f>'source data'!A33</f>
        <v>filament_printerModelCompatibility</v>
      </c>
      <c r="Z1" s="1" t="str">
        <f>'source data'!A34</f>
        <v>filament_AMScompatibility</v>
      </c>
    </row>
    <row r="2" spans="1:26" x14ac:dyDescent="0.2">
      <c r="A2">
        <v>100</v>
      </c>
      <c r="B2" t="s">
        <v>5</v>
      </c>
      <c r="C2" t="s">
        <v>42</v>
      </c>
      <c r="D2" s="18" t="s">
        <v>48</v>
      </c>
      <c r="E2" t="s">
        <v>46</v>
      </c>
      <c r="U2" t="s">
        <v>112</v>
      </c>
      <c r="V2" t="s">
        <v>118</v>
      </c>
      <c r="W2" t="s">
        <v>46</v>
      </c>
    </row>
    <row r="3" spans="1:26" x14ac:dyDescent="0.2">
      <c r="A3">
        <v>101</v>
      </c>
      <c r="B3" t="s">
        <v>5</v>
      </c>
      <c r="C3" t="s">
        <v>42</v>
      </c>
      <c r="D3" s="18" t="s">
        <v>49</v>
      </c>
      <c r="F3" t="s">
        <v>65</v>
      </c>
      <c r="U3" t="s">
        <v>112</v>
      </c>
      <c r="V3" t="s">
        <v>118</v>
      </c>
      <c r="W3" t="s">
        <v>60</v>
      </c>
    </row>
    <row r="4" spans="1:26" x14ac:dyDescent="0.2">
      <c r="A4">
        <v>102</v>
      </c>
      <c r="B4" t="s">
        <v>29</v>
      </c>
      <c r="C4" t="s">
        <v>42</v>
      </c>
      <c r="G4" t="s">
        <v>147</v>
      </c>
      <c r="I4" t="s">
        <v>80</v>
      </c>
      <c r="U4" t="s">
        <v>112</v>
      </c>
      <c r="V4" t="s">
        <v>118</v>
      </c>
      <c r="W4" t="s">
        <v>61</v>
      </c>
    </row>
    <row r="5" spans="1:26" x14ac:dyDescent="0.2">
      <c r="A5">
        <v>103</v>
      </c>
      <c r="B5" t="s">
        <v>29</v>
      </c>
      <c r="C5" t="s">
        <v>43</v>
      </c>
      <c r="P5" t="s">
        <v>108</v>
      </c>
      <c r="Q5" t="s">
        <v>101</v>
      </c>
      <c r="U5" t="s">
        <v>113</v>
      </c>
      <c r="V5" t="s">
        <v>118</v>
      </c>
      <c r="W5" t="s">
        <v>61</v>
      </c>
    </row>
    <row r="6" spans="1:26" x14ac:dyDescent="0.2">
      <c r="A6">
        <v>104</v>
      </c>
      <c r="B6" t="s">
        <v>29</v>
      </c>
      <c r="C6" t="s">
        <v>42</v>
      </c>
      <c r="G6" t="s">
        <v>50</v>
      </c>
      <c r="N6" t="s">
        <v>93</v>
      </c>
      <c r="U6" t="s">
        <v>112</v>
      </c>
      <c r="V6" t="s">
        <v>118</v>
      </c>
      <c r="W6" t="s">
        <v>64</v>
      </c>
    </row>
    <row r="7" spans="1:26" x14ac:dyDescent="0.2">
      <c r="A7">
        <v>105</v>
      </c>
      <c r="B7" t="s">
        <v>29</v>
      </c>
      <c r="C7" t="s">
        <v>42</v>
      </c>
      <c r="G7" t="s">
        <v>94</v>
      </c>
      <c r="K7" t="s">
        <v>96</v>
      </c>
      <c r="U7" t="s">
        <v>112</v>
      </c>
      <c r="V7" t="s">
        <v>118</v>
      </c>
      <c r="W7" t="s">
        <v>61</v>
      </c>
    </row>
    <row r="8" spans="1:26" x14ac:dyDescent="0.2">
      <c r="A8">
        <v>106</v>
      </c>
      <c r="B8" t="s">
        <v>29</v>
      </c>
      <c r="C8" t="s">
        <v>42</v>
      </c>
      <c r="G8" t="s">
        <v>51</v>
      </c>
      <c r="J8" t="s">
        <v>46</v>
      </c>
      <c r="U8" t="s">
        <v>112</v>
      </c>
      <c r="V8" t="s">
        <v>118</v>
      </c>
      <c r="W8" t="s">
        <v>46</v>
      </c>
    </row>
    <row r="9" spans="1:26" x14ac:dyDescent="0.2">
      <c r="A9">
        <v>107</v>
      </c>
      <c r="B9" t="s">
        <v>29</v>
      </c>
      <c r="C9" t="s">
        <v>42</v>
      </c>
      <c r="G9" t="s">
        <v>51</v>
      </c>
      <c r="J9" t="s">
        <v>47</v>
      </c>
      <c r="U9" t="s">
        <v>112</v>
      </c>
      <c r="V9" t="s">
        <v>118</v>
      </c>
      <c r="W9" t="s">
        <v>47</v>
      </c>
    </row>
    <row r="10" spans="1:26" x14ac:dyDescent="0.2">
      <c r="A10">
        <v>108</v>
      </c>
      <c r="B10" t="s">
        <v>29</v>
      </c>
      <c r="C10" t="s">
        <v>42</v>
      </c>
      <c r="G10" t="s">
        <v>147</v>
      </c>
      <c r="I10" t="s">
        <v>47</v>
      </c>
      <c r="U10" t="s">
        <v>113</v>
      </c>
      <c r="V10" t="s">
        <v>118</v>
      </c>
      <c r="W10" t="s">
        <v>47</v>
      </c>
    </row>
    <row r="11" spans="1:26" x14ac:dyDescent="0.2">
      <c r="A11">
        <v>109</v>
      </c>
      <c r="B11" t="s">
        <v>29</v>
      </c>
      <c r="C11" t="s">
        <v>42</v>
      </c>
      <c r="G11" t="s">
        <v>51</v>
      </c>
      <c r="J11" t="s">
        <v>81</v>
      </c>
      <c r="U11" t="s">
        <v>112</v>
      </c>
      <c r="V11" t="s">
        <v>118</v>
      </c>
      <c r="W11" t="s">
        <v>63</v>
      </c>
    </row>
    <row r="12" spans="1:26" x14ac:dyDescent="0.2">
      <c r="A12">
        <v>110</v>
      </c>
      <c r="B12" t="s">
        <v>29</v>
      </c>
      <c r="C12" t="s">
        <v>42</v>
      </c>
      <c r="G12" t="s">
        <v>51</v>
      </c>
      <c r="J12" t="s">
        <v>54</v>
      </c>
      <c r="U12" t="s">
        <v>112</v>
      </c>
      <c r="V12" t="s">
        <v>118</v>
      </c>
      <c r="W12" t="s">
        <v>54</v>
      </c>
    </row>
    <row r="13" spans="1:26" x14ac:dyDescent="0.2">
      <c r="A13">
        <v>111</v>
      </c>
      <c r="B13" t="s">
        <v>29</v>
      </c>
      <c r="C13" t="s">
        <v>42</v>
      </c>
      <c r="G13" t="s">
        <v>51</v>
      </c>
      <c r="J13" t="s">
        <v>82</v>
      </c>
      <c r="U13" t="s">
        <v>112</v>
      </c>
      <c r="V13" t="s">
        <v>118</v>
      </c>
      <c r="W13" t="s">
        <v>47</v>
      </c>
    </row>
    <row r="14" spans="1:26" x14ac:dyDescent="0.2">
      <c r="A14">
        <v>112</v>
      </c>
      <c r="B14" t="s">
        <v>29</v>
      </c>
      <c r="C14" t="s">
        <v>42</v>
      </c>
      <c r="G14" t="s">
        <v>51</v>
      </c>
      <c r="J14" t="s">
        <v>86</v>
      </c>
      <c r="U14" t="s">
        <v>112</v>
      </c>
      <c r="V14" t="s">
        <v>118</v>
      </c>
      <c r="W14" t="s">
        <v>62</v>
      </c>
    </row>
    <row r="15" spans="1:26" x14ac:dyDescent="0.2">
      <c r="A15">
        <v>113</v>
      </c>
      <c r="B15" t="s">
        <v>29</v>
      </c>
      <c r="C15" t="s">
        <v>42</v>
      </c>
      <c r="G15" t="s">
        <v>51</v>
      </c>
      <c r="J15" t="s">
        <v>55</v>
      </c>
      <c r="U15" t="s">
        <v>112</v>
      </c>
      <c r="V15" t="s">
        <v>118</v>
      </c>
      <c r="W15" t="s">
        <v>55</v>
      </c>
    </row>
    <row r="16" spans="1:26" x14ac:dyDescent="0.2">
      <c r="A16">
        <v>114</v>
      </c>
      <c r="B16" t="s">
        <v>29</v>
      </c>
      <c r="C16" t="s">
        <v>42</v>
      </c>
      <c r="G16" t="s">
        <v>51</v>
      </c>
      <c r="J16" t="s">
        <v>56</v>
      </c>
      <c r="U16" t="s">
        <v>112</v>
      </c>
      <c r="V16" t="s">
        <v>118</v>
      </c>
      <c r="W16" t="s">
        <v>56</v>
      </c>
    </row>
    <row r="17" spans="1:23" x14ac:dyDescent="0.2">
      <c r="A17">
        <v>115</v>
      </c>
      <c r="B17" t="s">
        <v>29</v>
      </c>
      <c r="C17" t="s">
        <v>42</v>
      </c>
      <c r="G17" t="s">
        <v>51</v>
      </c>
      <c r="J17" t="s">
        <v>91</v>
      </c>
      <c r="U17" t="s">
        <v>112</v>
      </c>
      <c r="V17" t="s">
        <v>118</v>
      </c>
      <c r="W17" t="s">
        <v>54</v>
      </c>
    </row>
    <row r="18" spans="1:23" x14ac:dyDescent="0.2">
      <c r="A18">
        <v>116</v>
      </c>
      <c r="B18" t="s">
        <v>29</v>
      </c>
      <c r="C18" t="s">
        <v>42</v>
      </c>
      <c r="G18" t="s">
        <v>51</v>
      </c>
      <c r="J18" t="s">
        <v>89</v>
      </c>
      <c r="U18" t="s">
        <v>112</v>
      </c>
      <c r="V18" t="s">
        <v>118</v>
      </c>
      <c r="W18" t="s">
        <v>55</v>
      </c>
    </row>
    <row r="19" spans="1:23" x14ac:dyDescent="0.2">
      <c r="A19">
        <v>117</v>
      </c>
      <c r="B19" t="s">
        <v>29</v>
      </c>
      <c r="C19" t="s">
        <v>42</v>
      </c>
      <c r="G19" t="s">
        <v>51</v>
      </c>
      <c r="J19" t="s">
        <v>57</v>
      </c>
      <c r="U19" t="s">
        <v>112</v>
      </c>
      <c r="V19" t="s">
        <v>118</v>
      </c>
      <c r="W19" t="s">
        <v>57</v>
      </c>
    </row>
    <row r="20" spans="1:23" x14ac:dyDescent="0.2">
      <c r="A20">
        <v>118</v>
      </c>
      <c r="B20" t="s">
        <v>29</v>
      </c>
      <c r="C20" t="s">
        <v>42</v>
      </c>
      <c r="G20" t="s">
        <v>51</v>
      </c>
      <c r="J20" t="s">
        <v>88</v>
      </c>
      <c r="U20" t="s">
        <v>112</v>
      </c>
      <c r="V20" t="s">
        <v>118</v>
      </c>
      <c r="W20" t="s">
        <v>55</v>
      </c>
    </row>
    <row r="21" spans="1:23" x14ac:dyDescent="0.2">
      <c r="A21">
        <v>119</v>
      </c>
      <c r="B21" t="s">
        <v>29</v>
      </c>
      <c r="C21" t="s">
        <v>42</v>
      </c>
      <c r="G21" t="s">
        <v>51</v>
      </c>
      <c r="J21" t="s">
        <v>87</v>
      </c>
      <c r="U21" t="s">
        <v>112</v>
      </c>
      <c r="V21" t="s">
        <v>118</v>
      </c>
      <c r="W21" t="s">
        <v>55</v>
      </c>
    </row>
    <row r="22" spans="1:23" x14ac:dyDescent="0.2">
      <c r="A22">
        <v>120</v>
      </c>
      <c r="B22" t="s">
        <v>29</v>
      </c>
      <c r="C22" t="s">
        <v>42</v>
      </c>
      <c r="G22" t="s">
        <v>51</v>
      </c>
      <c r="J22" t="s">
        <v>58</v>
      </c>
      <c r="U22" t="s">
        <v>112</v>
      </c>
      <c r="V22" t="s">
        <v>118</v>
      </c>
      <c r="W22" t="s">
        <v>58</v>
      </c>
    </row>
    <row r="23" spans="1:23" x14ac:dyDescent="0.2">
      <c r="A23">
        <v>121</v>
      </c>
      <c r="B23" t="s">
        <v>29</v>
      </c>
      <c r="C23" t="s">
        <v>42</v>
      </c>
      <c r="G23" t="s">
        <v>51</v>
      </c>
      <c r="J23" t="s">
        <v>60</v>
      </c>
      <c r="U23" t="s">
        <v>112</v>
      </c>
      <c r="V23" t="s">
        <v>118</v>
      </c>
      <c r="W23" t="s">
        <v>60</v>
      </c>
    </row>
    <row r="24" spans="1:23" x14ac:dyDescent="0.2">
      <c r="A24">
        <v>122</v>
      </c>
      <c r="B24" t="s">
        <v>29</v>
      </c>
      <c r="C24" t="s">
        <v>42</v>
      </c>
      <c r="G24" t="s">
        <v>147</v>
      </c>
      <c r="I24" t="s">
        <v>60</v>
      </c>
      <c r="U24" t="s">
        <v>113</v>
      </c>
      <c r="V24" t="s">
        <v>118</v>
      </c>
      <c r="W24" t="s">
        <v>60</v>
      </c>
    </row>
    <row r="25" spans="1:23" x14ac:dyDescent="0.2">
      <c r="A25">
        <v>123</v>
      </c>
      <c r="B25" t="s">
        <v>29</v>
      </c>
      <c r="C25" t="s">
        <v>42</v>
      </c>
      <c r="G25" t="s">
        <v>51</v>
      </c>
      <c r="J25" t="s">
        <v>84</v>
      </c>
      <c r="U25" t="s">
        <v>112</v>
      </c>
      <c r="V25" t="s">
        <v>118</v>
      </c>
      <c r="W25" t="s">
        <v>60</v>
      </c>
    </row>
    <row r="26" spans="1:23" x14ac:dyDescent="0.2">
      <c r="A26">
        <v>124</v>
      </c>
      <c r="B26" t="s">
        <v>29</v>
      </c>
      <c r="C26" t="s">
        <v>42</v>
      </c>
      <c r="G26" t="s">
        <v>51</v>
      </c>
      <c r="J26" t="s">
        <v>85</v>
      </c>
      <c r="U26" t="s">
        <v>112</v>
      </c>
      <c r="V26" t="s">
        <v>118</v>
      </c>
      <c r="W26" t="s">
        <v>56</v>
      </c>
    </row>
    <row r="27" spans="1:23" x14ac:dyDescent="0.2">
      <c r="A27">
        <v>125</v>
      </c>
      <c r="B27" t="s">
        <v>29</v>
      </c>
      <c r="C27" t="s">
        <v>42</v>
      </c>
      <c r="G27" t="s">
        <v>51</v>
      </c>
      <c r="J27" t="s">
        <v>111</v>
      </c>
      <c r="U27" t="s">
        <v>112</v>
      </c>
      <c r="V27" t="s">
        <v>118</v>
      </c>
      <c r="W27" t="s">
        <v>63</v>
      </c>
    </row>
    <row r="28" spans="1:23" x14ac:dyDescent="0.2">
      <c r="A28">
        <v>126</v>
      </c>
      <c r="B28" t="s">
        <v>29</v>
      </c>
      <c r="C28" t="s">
        <v>42</v>
      </c>
      <c r="G28" t="s">
        <v>51</v>
      </c>
      <c r="J28" t="s">
        <v>83</v>
      </c>
      <c r="U28" t="s">
        <v>112</v>
      </c>
      <c r="V28" t="s">
        <v>118</v>
      </c>
      <c r="W28" t="s">
        <v>47</v>
      </c>
    </row>
    <row r="29" spans="1:23" x14ac:dyDescent="0.2">
      <c r="A29">
        <v>127</v>
      </c>
      <c r="B29" t="s">
        <v>29</v>
      </c>
      <c r="C29" t="s">
        <v>42</v>
      </c>
      <c r="G29" t="s">
        <v>51</v>
      </c>
      <c r="J29" t="s">
        <v>90</v>
      </c>
      <c r="U29" t="s">
        <v>112</v>
      </c>
      <c r="V29" t="s">
        <v>118</v>
      </c>
      <c r="W29" t="s">
        <v>59</v>
      </c>
    </row>
    <row r="30" spans="1:23" x14ac:dyDescent="0.2">
      <c r="A30">
        <v>128</v>
      </c>
      <c r="B30" t="s">
        <v>29</v>
      </c>
      <c r="C30" t="s">
        <v>42</v>
      </c>
      <c r="G30" t="s">
        <v>51</v>
      </c>
      <c r="J30" t="s">
        <v>80</v>
      </c>
      <c r="U30" t="s">
        <v>112</v>
      </c>
      <c r="V30" t="s">
        <v>118</v>
      </c>
      <c r="W30" t="s">
        <v>61</v>
      </c>
    </row>
    <row r="31" spans="1:23" x14ac:dyDescent="0.2">
      <c r="A31">
        <v>129</v>
      </c>
      <c r="B31" t="s">
        <v>29</v>
      </c>
      <c r="C31" t="s">
        <v>42</v>
      </c>
      <c r="G31" t="s">
        <v>147</v>
      </c>
      <c r="I31" t="s">
        <v>80</v>
      </c>
      <c r="U31" t="s">
        <v>113</v>
      </c>
      <c r="V31" t="s">
        <v>118</v>
      </c>
      <c r="W31" t="s">
        <v>61</v>
      </c>
    </row>
    <row r="32" spans="1:23" x14ac:dyDescent="0.2">
      <c r="A32">
        <v>130</v>
      </c>
      <c r="B32" t="s">
        <v>29</v>
      </c>
      <c r="C32" t="s">
        <v>42</v>
      </c>
      <c r="G32" t="s">
        <v>51</v>
      </c>
      <c r="J32" t="s">
        <v>62</v>
      </c>
      <c r="U32" t="s">
        <v>112</v>
      </c>
      <c r="V32" t="s">
        <v>118</v>
      </c>
      <c r="W32" t="s">
        <v>62</v>
      </c>
    </row>
    <row r="33" spans="1:23" x14ac:dyDescent="0.2">
      <c r="A33">
        <v>131</v>
      </c>
      <c r="B33" t="s">
        <v>29</v>
      </c>
      <c r="C33" t="s">
        <v>42</v>
      </c>
      <c r="G33" t="s">
        <v>108</v>
      </c>
      <c r="H33" t="s">
        <v>67</v>
      </c>
      <c r="U33" t="s">
        <v>112</v>
      </c>
      <c r="V33" t="s">
        <v>118</v>
      </c>
      <c r="W33" t="s">
        <v>64</v>
      </c>
    </row>
    <row r="34" spans="1:23" x14ac:dyDescent="0.2">
      <c r="A34">
        <v>132</v>
      </c>
      <c r="B34" t="s">
        <v>29</v>
      </c>
      <c r="C34" t="s">
        <v>42</v>
      </c>
      <c r="G34" t="s">
        <v>44</v>
      </c>
      <c r="L34" t="s">
        <v>98</v>
      </c>
      <c r="M34" t="s">
        <v>100</v>
      </c>
      <c r="U34" t="s">
        <v>112</v>
      </c>
      <c r="V34" t="s">
        <v>118</v>
      </c>
      <c r="W34" t="s">
        <v>64</v>
      </c>
    </row>
    <row r="35" spans="1:23" x14ac:dyDescent="0.2">
      <c r="A35">
        <v>133</v>
      </c>
      <c r="B35" t="s">
        <v>29</v>
      </c>
      <c r="C35" t="s">
        <v>45</v>
      </c>
      <c r="S35" t="s">
        <v>53</v>
      </c>
      <c r="T35" s="3" t="s">
        <v>46</v>
      </c>
      <c r="U35" t="s">
        <v>112</v>
      </c>
      <c r="V35" t="s">
        <v>118</v>
      </c>
      <c r="W35" t="s">
        <v>46</v>
      </c>
    </row>
    <row r="36" spans="1:23" x14ac:dyDescent="0.2">
      <c r="A36">
        <v>134</v>
      </c>
      <c r="B36" t="s">
        <v>29</v>
      </c>
      <c r="C36" t="s">
        <v>42</v>
      </c>
      <c r="G36" t="s">
        <v>109</v>
      </c>
      <c r="O36" t="s">
        <v>61</v>
      </c>
      <c r="U36" t="s">
        <v>112</v>
      </c>
      <c r="V36" t="s">
        <v>118</v>
      </c>
      <c r="W36" t="s">
        <v>61</v>
      </c>
    </row>
    <row r="37" spans="1:23" x14ac:dyDescent="0.2">
      <c r="A37">
        <v>135</v>
      </c>
      <c r="B37" t="s">
        <v>29</v>
      </c>
      <c r="C37" t="s">
        <v>43</v>
      </c>
      <c r="P37" t="s">
        <v>52</v>
      </c>
      <c r="Q37" t="s">
        <v>102</v>
      </c>
      <c r="U37" t="s">
        <v>112</v>
      </c>
      <c r="V37" t="s">
        <v>118</v>
      </c>
      <c r="W37" t="s">
        <v>55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6BCDA38B-AFFF-164F-AF9F-A70BC92D48F7}">
          <x14:formula1>
            <xm:f>'source data'!$B$13:$C$13</xm:f>
          </x14:formula1>
          <xm:sqref>E2</xm:sqref>
        </x14:dataValidation>
        <x14:dataValidation type="list" allowBlank="1" showInputMessage="1" showErrorMessage="1" xr:uid="{246E3D8A-F084-0F41-A51B-7D769A46CED6}">
          <x14:formula1>
            <xm:f>'source data'!$B$10:$D$10</xm:f>
          </x14:formula1>
          <xm:sqref>B2:B37</xm:sqref>
        </x14:dataValidation>
        <x14:dataValidation type="list" allowBlank="1" showInputMessage="1" showErrorMessage="1" xr:uid="{64C3D38A-A9BE-DE43-B2B8-C452C181B580}">
          <x14:formula1>
            <xm:f>'source data'!$B$11:$E$11</xm:f>
          </x14:formula1>
          <xm:sqref>C2:C37</xm:sqref>
        </x14:dataValidation>
        <x14:dataValidation type="list" allowBlank="1" showInputMessage="1" showErrorMessage="1" xr:uid="{9242DD98-8F4F-2549-B7A4-74A14DD3191D}">
          <x14:formula1>
            <xm:f>'source data'!$B$12:$D$12</xm:f>
          </x14:formula1>
          <xm:sqref>D2:D4</xm:sqref>
        </x14:dataValidation>
        <x14:dataValidation type="list" allowBlank="1" showInputMessage="1" showErrorMessage="1" xr:uid="{799EBB44-55C0-7F4F-823F-0E31C74C826B}">
          <x14:formula1>
            <xm:f>'source data'!$B$14:$C$14</xm:f>
          </x14:formula1>
          <xm:sqref>F3:F4</xm:sqref>
        </x14:dataValidation>
        <x14:dataValidation type="list" allowBlank="1" showInputMessage="1" showErrorMessage="1" xr:uid="{B32A47AD-1EDE-DF4D-B4E9-B822E12D541A}">
          <x14:formula1>
            <xm:f>'source data'!$B$24:$D$24</xm:f>
          </x14:formula1>
          <xm:sqref>P5 P37</xm:sqref>
        </x14:dataValidation>
        <x14:dataValidation type="list" allowBlank="1" showInputMessage="1" showErrorMessage="1" xr:uid="{BEB8DC5E-B52C-CE4F-AE45-44A350CB0571}">
          <x14:formula1>
            <xm:f>'source data'!$B$25:$C$25</xm:f>
          </x14:formula1>
          <xm:sqref>Q5</xm:sqref>
        </x14:dataValidation>
        <x14:dataValidation type="list" allowBlank="1" showInputMessage="1" showErrorMessage="1" xr:uid="{2B6374D5-D29E-A844-82AA-95606BBF95A3}">
          <x14:formula1>
            <xm:f>'source data'!$B$22:$C$22</xm:f>
          </x14:formula1>
          <xm:sqref>N6:O6</xm:sqref>
        </x14:dataValidation>
        <x14:dataValidation type="list" allowBlank="1" showInputMessage="1" showErrorMessage="1" xr:uid="{C6FA92A9-14AC-1747-8581-527C0B6F81D8}">
          <x14:formula1>
            <xm:f>'source data'!$B$19:$C$19</xm:f>
          </x14:formula1>
          <xm:sqref>K7</xm:sqref>
        </x14:dataValidation>
        <x14:dataValidation type="list" allowBlank="1" showInputMessage="1" showErrorMessage="1" xr:uid="{FB65016C-D2A1-354A-9D4E-DD862CCC3ADD}">
          <x14:formula1>
            <xm:f>'source data'!$B$18:$X$18</xm:f>
          </x14:formula1>
          <xm:sqref>J8:J9 J11:J23 J25:J30 J32:J36</xm:sqref>
        </x14:dataValidation>
        <x14:dataValidation type="list" allowBlank="1" showInputMessage="1" showErrorMessage="1" xr:uid="{EA55FFA2-D674-F544-9033-F349F07DCD8A}">
          <x14:formula1>
            <xm:f>'source data'!$B$16:$C$16</xm:f>
          </x14:formula1>
          <xm:sqref>H33:I33</xm:sqref>
        </x14:dataValidation>
        <x14:dataValidation type="list" allowBlank="1" showInputMessage="1" showErrorMessage="1" xr:uid="{F05D270D-2E4B-E544-908E-018968E8E69F}">
          <x14:formula1>
            <xm:f>'source data'!$B$20:$C$20</xm:f>
          </x14:formula1>
          <xm:sqref>L34</xm:sqref>
        </x14:dataValidation>
        <x14:dataValidation type="list" allowBlank="1" showInputMessage="1" showErrorMessage="1" xr:uid="{7A2EF1BA-4F63-0444-90B7-488F4BF5A347}">
          <x14:formula1>
            <xm:f>'source data'!$B$21:$C$21</xm:f>
          </x14:formula1>
          <xm:sqref>M34</xm:sqref>
        </x14:dataValidation>
        <x14:dataValidation type="list" allowBlank="1" showInputMessage="1" showErrorMessage="1" xr:uid="{A78CB4FE-10B2-B04D-9909-7F0622621852}">
          <x14:formula1>
            <xm:f>'source data'!$B$27:$C$27</xm:f>
          </x14:formula1>
          <xm:sqref>S35</xm:sqref>
        </x14:dataValidation>
        <x14:dataValidation type="list" allowBlank="1" showInputMessage="1" showErrorMessage="1" xr:uid="{E783859D-A63E-664A-98D5-BC0C9E8430E4}">
          <x14:formula1>
            <xm:f>'source data'!$B$28:$C$28</xm:f>
          </x14:formula1>
          <xm:sqref>T35</xm:sqref>
        </x14:dataValidation>
        <x14:dataValidation type="list" allowBlank="1" showInputMessage="1" showErrorMessage="1" xr:uid="{3116342B-AD41-F34A-B919-1D5ECA0AC16A}">
          <x14:formula1>
            <xm:f>'source data'!$B$23:$C$23</xm:f>
          </x14:formula1>
          <xm:sqref>O36</xm:sqref>
        </x14:dataValidation>
        <x14:dataValidation type="list" allowBlank="1" showInputMessage="1" showErrorMessage="1" xr:uid="{81BA3222-17E6-F549-90DF-8440B44900CF}">
          <x14:formula1>
            <xm:f>'source data'!$B$26:$C$26</xm:f>
          </x14:formula1>
          <xm:sqref>Q37</xm:sqref>
        </x14:dataValidation>
        <x14:dataValidation type="list" allowBlank="1" showInputMessage="1" showErrorMessage="1" xr:uid="{BBBB3107-9847-AC4D-8E2D-3F5D67CDC8C8}">
          <x14:formula1>
            <xm:f>'source data'!$B$31:$O$31</xm:f>
          </x14:formula1>
          <xm:sqref>W2:W37</xm:sqref>
        </x14:dataValidation>
        <x14:dataValidation type="list" allowBlank="1" showInputMessage="1" showErrorMessage="1" xr:uid="{16803A31-70A8-CF4E-A81F-B978E7FA239D}">
          <x14:formula1>
            <xm:f>'source data'!$B$29:$D$29</xm:f>
          </x14:formula1>
          <xm:sqref>U2:U37</xm:sqref>
        </x14:dataValidation>
        <x14:dataValidation type="list" allowBlank="1" showInputMessage="1" showErrorMessage="1" xr:uid="{D0FB231E-6DB6-1748-A5BB-10D8ACB60F85}">
          <x14:formula1>
            <xm:f>'source data'!$B$30:$D$30</xm:f>
          </x14:formula1>
          <xm:sqref>V2:V37</xm:sqref>
        </x14:dataValidation>
        <x14:dataValidation type="list" allowBlank="1" showInputMessage="1" showErrorMessage="1" xr:uid="{0BC75DFD-8FD8-A844-8EA8-771BF81A3495}">
          <x14:formula1>
            <xm:f>'source data'!$B$15:$I$15</xm:f>
          </x14:formula1>
          <xm:sqref>G36 G4 G6:G34</xm:sqref>
        </x14:dataValidation>
        <x14:dataValidation type="list" allowBlank="1" showInputMessage="1" showErrorMessage="1" xr:uid="{284D072C-E6CD-184A-A3B4-E2D2537DF527}">
          <x14:formula1>
            <xm:f>'source data'!$B$17:$E$17</xm:f>
          </x14:formula1>
          <xm:sqref>I4 I10 I24 I31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746B-DEC7-6D4E-8423-ABD64C8DBEE7}">
  <dimension ref="A1:U35"/>
  <sheetViews>
    <sheetView zoomScaleNormal="100" workbookViewId="0">
      <selection activeCell="F19" sqref="F19"/>
    </sheetView>
  </sheetViews>
  <sheetFormatPr baseColWidth="10" defaultRowHeight="16" x14ac:dyDescent="0.2"/>
  <cols>
    <col min="1" max="1" width="11" bestFit="1" customWidth="1"/>
    <col min="2" max="2" width="16.5" bestFit="1" customWidth="1"/>
    <col min="3" max="3" width="18.83203125" bestFit="1" customWidth="1"/>
    <col min="4" max="4" width="33.83203125" style="3" bestFit="1" customWidth="1"/>
    <col min="5" max="5" width="20" bestFit="1" customWidth="1"/>
    <col min="6" max="6" width="17.5" bestFit="1" customWidth="1"/>
    <col min="7" max="7" width="29.5" bestFit="1" customWidth="1"/>
    <col min="8" max="8" width="30" bestFit="1" customWidth="1"/>
    <col min="9" max="9" width="12" bestFit="1" customWidth="1"/>
    <col min="10" max="10" width="28.83203125" style="3" bestFit="1" customWidth="1"/>
    <col min="11" max="11" width="15.5" bestFit="1" customWidth="1"/>
    <col min="12" max="12" width="26.33203125" bestFit="1" customWidth="1"/>
    <col min="13" max="13" width="28.5" bestFit="1" customWidth="1"/>
    <col min="14" max="14" width="23.33203125" bestFit="1" customWidth="1"/>
    <col min="15" max="15" width="33.33203125" style="3" bestFit="1" customWidth="1"/>
    <col min="16" max="16" width="22.1640625" bestFit="1" customWidth="1"/>
    <col min="17" max="18" width="35.83203125" bestFit="1" customWidth="1"/>
    <col min="19" max="19" width="35" bestFit="1" customWidth="1"/>
    <col min="20" max="20" width="35.6640625" bestFit="1" customWidth="1"/>
    <col min="21" max="21" width="16.33203125" bestFit="1" customWidth="1"/>
    <col min="22" max="23" width="35.83203125" bestFit="1" customWidth="1"/>
    <col min="24" max="24" width="35" bestFit="1" customWidth="1"/>
    <col min="25" max="25" width="35.6640625" bestFit="1" customWidth="1"/>
    <col min="26" max="26" width="16.33203125" bestFit="1" customWidth="1"/>
  </cols>
  <sheetData>
    <row r="1" spans="1:21" x14ac:dyDescent="0.2">
      <c r="A1" t="s">
        <v>0</v>
      </c>
      <c r="B1" t="str">
        <f>'source data'!A36</f>
        <v>accessories_brand</v>
      </c>
      <c r="C1" t="str">
        <f>'source data'!A37</f>
        <v>accessories_category</v>
      </c>
      <c r="D1" s="3" t="str">
        <f>'source data'!A38</f>
        <v>accessories_printerModelCompatibility</v>
      </c>
      <c r="E1" t="str">
        <f>'source data'!A39</f>
        <v>buildPlate-A1mini_type</v>
      </c>
      <c r="F1" t="str">
        <f>'source data'!A40</f>
        <v>hotend-A1mini_type</v>
      </c>
      <c r="G1" t="str">
        <f>'source data'!A41</f>
        <v>hotend-A1mini-stainlessSteel_size</v>
      </c>
      <c r="H1" t="str">
        <f>'source data'!A42</f>
        <v>hotend-A1mini-hardenedSteel_size</v>
      </c>
      <c r="I1" t="str">
        <f>'source data'!A43</f>
        <v>upgrade_type</v>
      </c>
      <c r="J1" s="3" t="str">
        <f>'source data'!A44</f>
        <v>spareParts_type</v>
      </c>
      <c r="K1" t="str">
        <f>'source data'!A45</f>
        <v>screwsKit_type</v>
      </c>
      <c r="L1" t="str">
        <f>'source data'!A46</f>
        <v>screwsKit-machineScrew_type</v>
      </c>
      <c r="M1" t="str">
        <f>'source data'!A47</f>
        <v>screwsKit-selfTappingScrew_type</v>
      </c>
      <c r="N1" t="str">
        <f>'source data'!A48</f>
        <v>screwsKit-washer_type</v>
      </c>
      <c r="O1" s="3" t="str">
        <f>'source data'!A49</f>
        <v>screwsKit-spring_type</v>
      </c>
      <c r="P1" t="str">
        <f>'source data'!A50</f>
        <v>filamentAccessories_type</v>
      </c>
      <c r="Q1" t="str">
        <f>'source data'!A51</f>
        <v>filamentAccessories-filamentDryer_model</v>
      </c>
      <c r="R1" t="str">
        <f>'source data'!A52</f>
        <v>filamentAccessories-filamentSpool_model</v>
      </c>
      <c r="S1" t="str">
        <f>'source data'!A53</f>
        <v>filamentAccessories-vacuumBags_model</v>
      </c>
      <c r="T1" t="str">
        <f>'source data'!A54</f>
        <v>filamentAccessories-vacuumPump_model</v>
      </c>
      <c r="U1" t="str">
        <f>'source data'!A55</f>
        <v>consumables_type</v>
      </c>
    </row>
    <row r="2" spans="1:21" x14ac:dyDescent="0.2">
      <c r="A2">
        <v>1000</v>
      </c>
      <c r="B2" t="s">
        <v>5</v>
      </c>
      <c r="C2" t="s">
        <v>20</v>
      </c>
      <c r="F2" t="s">
        <v>139</v>
      </c>
      <c r="G2" t="s">
        <v>127</v>
      </c>
    </row>
    <row r="3" spans="1:21" x14ac:dyDescent="0.2">
      <c r="A3">
        <v>1001</v>
      </c>
      <c r="B3" t="s">
        <v>5</v>
      </c>
      <c r="C3" t="s">
        <v>6</v>
      </c>
      <c r="E3" t="s">
        <v>4</v>
      </c>
    </row>
    <row r="4" spans="1:21" x14ac:dyDescent="0.2">
      <c r="A4">
        <v>1002</v>
      </c>
      <c r="B4" t="s">
        <v>5</v>
      </c>
      <c r="C4" t="s">
        <v>20</v>
      </c>
      <c r="F4" t="s">
        <v>122</v>
      </c>
      <c r="H4" t="s">
        <v>128</v>
      </c>
    </row>
    <row r="5" spans="1:21" x14ac:dyDescent="0.2">
      <c r="A5">
        <v>1003</v>
      </c>
      <c r="B5" t="s">
        <v>5</v>
      </c>
      <c r="C5" t="s">
        <v>8</v>
      </c>
      <c r="U5" t="s">
        <v>145</v>
      </c>
    </row>
    <row r="6" spans="1:21" x14ac:dyDescent="0.2">
      <c r="A6">
        <v>1004</v>
      </c>
      <c r="B6" t="s">
        <v>29</v>
      </c>
      <c r="C6" t="s">
        <v>168</v>
      </c>
      <c r="P6" t="s">
        <v>150</v>
      </c>
      <c r="Q6" t="s">
        <v>154</v>
      </c>
    </row>
    <row r="7" spans="1:21" x14ac:dyDescent="0.2">
      <c r="A7">
        <v>1005</v>
      </c>
      <c r="B7" t="s">
        <v>29</v>
      </c>
      <c r="C7" t="s">
        <v>168</v>
      </c>
      <c r="P7" t="s">
        <v>153</v>
      </c>
      <c r="R7" t="s">
        <v>155</v>
      </c>
    </row>
    <row r="8" spans="1:21" x14ac:dyDescent="0.2">
      <c r="A8">
        <v>1006</v>
      </c>
      <c r="B8" t="s">
        <v>29</v>
      </c>
      <c r="C8" t="s">
        <v>168</v>
      </c>
      <c r="P8" t="s">
        <v>160</v>
      </c>
      <c r="S8" t="s">
        <v>162</v>
      </c>
    </row>
    <row r="9" spans="1:21" x14ac:dyDescent="0.2">
      <c r="A9">
        <v>1007</v>
      </c>
      <c r="B9" t="s">
        <v>29</v>
      </c>
      <c r="C9" t="s">
        <v>168</v>
      </c>
      <c r="P9" t="s">
        <v>161</v>
      </c>
      <c r="T9" t="s">
        <v>163</v>
      </c>
    </row>
    <row r="10" spans="1:21" x14ac:dyDescent="0.2">
      <c r="A10">
        <v>1008</v>
      </c>
      <c r="B10" t="s">
        <v>5</v>
      </c>
      <c r="C10" t="s">
        <v>20</v>
      </c>
      <c r="F10" t="s">
        <v>122</v>
      </c>
      <c r="H10" t="s">
        <v>130</v>
      </c>
    </row>
    <row r="11" spans="1:21" x14ac:dyDescent="0.2">
      <c r="A11">
        <v>1009</v>
      </c>
      <c r="B11" t="s">
        <v>5</v>
      </c>
      <c r="C11" t="s">
        <v>20</v>
      </c>
      <c r="F11" t="s">
        <v>122</v>
      </c>
      <c r="H11" t="s">
        <v>129</v>
      </c>
    </row>
    <row r="12" spans="1:21" x14ac:dyDescent="0.2">
      <c r="A12">
        <v>1010</v>
      </c>
      <c r="B12" t="s">
        <v>5</v>
      </c>
      <c r="C12" t="s">
        <v>6</v>
      </c>
      <c r="E12" t="s">
        <v>11</v>
      </c>
    </row>
    <row r="13" spans="1:21" x14ac:dyDescent="0.2">
      <c r="A13">
        <v>1011</v>
      </c>
      <c r="B13" t="s">
        <v>5</v>
      </c>
      <c r="C13" t="s">
        <v>6</v>
      </c>
      <c r="E13" t="s">
        <v>167</v>
      </c>
    </row>
    <row r="14" spans="1:21" x14ac:dyDescent="0.2">
      <c r="A14">
        <v>1012</v>
      </c>
      <c r="B14" t="s">
        <v>5</v>
      </c>
      <c r="C14" t="s">
        <v>14</v>
      </c>
      <c r="J14" s="3" t="s">
        <v>15</v>
      </c>
      <c r="K14" t="s">
        <v>182</v>
      </c>
      <c r="L14" t="s">
        <v>188</v>
      </c>
    </row>
    <row r="15" spans="1:21" x14ac:dyDescent="0.2">
      <c r="A15">
        <v>1013</v>
      </c>
      <c r="B15" t="s">
        <v>5</v>
      </c>
      <c r="C15" t="s">
        <v>14</v>
      </c>
      <c r="J15" s="3" t="s">
        <v>15</v>
      </c>
      <c r="K15" t="s">
        <v>182</v>
      </c>
      <c r="L15" t="s">
        <v>189</v>
      </c>
    </row>
    <row r="16" spans="1:21" x14ac:dyDescent="0.2">
      <c r="A16">
        <v>1014</v>
      </c>
      <c r="B16" t="s">
        <v>5</v>
      </c>
      <c r="C16" t="s">
        <v>14</v>
      </c>
      <c r="J16" s="3" t="s">
        <v>15</v>
      </c>
      <c r="K16" t="s">
        <v>183</v>
      </c>
      <c r="M16" t="s">
        <v>190</v>
      </c>
    </row>
    <row r="17" spans="1:15" x14ac:dyDescent="0.2">
      <c r="A17">
        <v>1015</v>
      </c>
      <c r="B17" t="s">
        <v>5</v>
      </c>
      <c r="C17" t="s">
        <v>14</v>
      </c>
      <c r="J17" s="3" t="s">
        <v>15</v>
      </c>
      <c r="K17" t="s">
        <v>183</v>
      </c>
      <c r="M17" t="s">
        <v>191</v>
      </c>
    </row>
    <row r="18" spans="1:15" x14ac:dyDescent="0.2">
      <c r="A18">
        <v>1016</v>
      </c>
      <c r="B18" t="s">
        <v>5</v>
      </c>
      <c r="C18" t="s">
        <v>14</v>
      </c>
      <c r="J18" s="3" t="s">
        <v>15</v>
      </c>
      <c r="K18" t="s">
        <v>183</v>
      </c>
      <c r="M18" t="s">
        <v>192</v>
      </c>
    </row>
    <row r="19" spans="1:15" x14ac:dyDescent="0.2">
      <c r="A19">
        <v>1017</v>
      </c>
      <c r="B19" t="s">
        <v>5</v>
      </c>
      <c r="C19" t="s">
        <v>14</v>
      </c>
      <c r="J19" s="3" t="s">
        <v>15</v>
      </c>
      <c r="K19" t="s">
        <v>183</v>
      </c>
      <c r="M19" t="s">
        <v>193</v>
      </c>
    </row>
    <row r="20" spans="1:15" x14ac:dyDescent="0.2">
      <c r="A20">
        <v>1018</v>
      </c>
      <c r="B20" t="s">
        <v>5</v>
      </c>
      <c r="C20" t="s">
        <v>14</v>
      </c>
      <c r="J20" s="3" t="s">
        <v>15</v>
      </c>
      <c r="K20" t="s">
        <v>183</v>
      </c>
      <c r="M20" t="s">
        <v>194</v>
      </c>
    </row>
    <row r="21" spans="1:15" x14ac:dyDescent="0.2">
      <c r="A21">
        <v>1019</v>
      </c>
      <c r="B21" t="s">
        <v>5</v>
      </c>
      <c r="C21" t="s">
        <v>14</v>
      </c>
      <c r="J21" s="3" t="s">
        <v>15</v>
      </c>
      <c r="K21" t="s">
        <v>181</v>
      </c>
      <c r="N21" t="s">
        <v>12</v>
      </c>
    </row>
    <row r="22" spans="1:15" x14ac:dyDescent="0.2">
      <c r="A22">
        <v>1020</v>
      </c>
      <c r="B22" t="s">
        <v>5</v>
      </c>
      <c r="C22" t="s">
        <v>14</v>
      </c>
      <c r="J22" s="3" t="s">
        <v>15</v>
      </c>
      <c r="K22" t="s">
        <v>183</v>
      </c>
      <c r="M22" t="s">
        <v>195</v>
      </c>
    </row>
    <row r="23" spans="1:15" x14ac:dyDescent="0.2">
      <c r="A23">
        <v>1021</v>
      </c>
      <c r="B23" t="s">
        <v>5</v>
      </c>
      <c r="C23" t="s">
        <v>14</v>
      </c>
      <c r="J23" s="3" t="s">
        <v>15</v>
      </c>
      <c r="K23" t="s">
        <v>183</v>
      </c>
      <c r="M23" t="s">
        <v>196</v>
      </c>
    </row>
    <row r="24" spans="1:15" x14ac:dyDescent="0.2">
      <c r="A24">
        <v>1022</v>
      </c>
      <c r="B24" t="s">
        <v>5</v>
      </c>
      <c r="C24" t="s">
        <v>14</v>
      </c>
      <c r="J24" s="3" t="s">
        <v>15</v>
      </c>
      <c r="K24" t="s">
        <v>183</v>
      </c>
      <c r="M24" t="s">
        <v>197</v>
      </c>
    </row>
    <row r="25" spans="1:15" x14ac:dyDescent="0.2">
      <c r="A25">
        <v>1023</v>
      </c>
      <c r="B25" t="s">
        <v>5</v>
      </c>
      <c r="C25" t="s">
        <v>14</v>
      </c>
      <c r="J25" s="3" t="s">
        <v>15</v>
      </c>
      <c r="K25" t="s">
        <v>182</v>
      </c>
      <c r="L25" t="s">
        <v>198</v>
      </c>
    </row>
    <row r="26" spans="1:15" x14ac:dyDescent="0.2">
      <c r="A26">
        <v>1024</v>
      </c>
      <c r="B26" t="s">
        <v>5</v>
      </c>
      <c r="C26" t="s">
        <v>14</v>
      </c>
      <c r="J26" s="3" t="s">
        <v>15</v>
      </c>
      <c r="K26" t="s">
        <v>183</v>
      </c>
      <c r="M26" t="s">
        <v>199</v>
      </c>
    </row>
    <row r="27" spans="1:15" x14ac:dyDescent="0.2">
      <c r="A27">
        <v>1025</v>
      </c>
      <c r="B27" t="s">
        <v>5</v>
      </c>
      <c r="C27" t="s">
        <v>14</v>
      </c>
      <c r="J27" s="3" t="s">
        <v>15</v>
      </c>
      <c r="K27" t="s">
        <v>175</v>
      </c>
      <c r="O27" s="3" t="s">
        <v>13</v>
      </c>
    </row>
    <row r="28" spans="1:15" x14ac:dyDescent="0.2">
      <c r="A28">
        <v>1026</v>
      </c>
      <c r="B28" t="s">
        <v>5</v>
      </c>
      <c r="C28" t="s">
        <v>14</v>
      </c>
      <c r="J28" s="3" t="s">
        <v>207</v>
      </c>
    </row>
    <row r="29" spans="1:15" x14ac:dyDescent="0.2">
      <c r="A29">
        <v>1027</v>
      </c>
      <c r="B29" t="s">
        <v>5</v>
      </c>
      <c r="C29" t="s">
        <v>14</v>
      </c>
      <c r="J29" s="3" t="s">
        <v>208</v>
      </c>
    </row>
    <row r="30" spans="1:15" x14ac:dyDescent="0.2">
      <c r="A30">
        <v>1028</v>
      </c>
      <c r="B30" t="s">
        <v>5</v>
      </c>
      <c r="C30" t="s">
        <v>14</v>
      </c>
      <c r="J30" s="3" t="s">
        <v>203</v>
      </c>
    </row>
    <row r="31" spans="1:15" x14ac:dyDescent="0.2">
      <c r="A31">
        <v>1029</v>
      </c>
      <c r="B31" t="s">
        <v>5</v>
      </c>
      <c r="C31" t="s">
        <v>14</v>
      </c>
      <c r="J31" s="3" t="s">
        <v>206</v>
      </c>
    </row>
    <row r="32" spans="1:15" x14ac:dyDescent="0.2">
      <c r="A32">
        <v>1030</v>
      </c>
      <c r="B32" t="s">
        <v>5</v>
      </c>
      <c r="C32" t="s">
        <v>14</v>
      </c>
      <c r="J32" s="3" t="s">
        <v>204</v>
      </c>
    </row>
    <row r="33" spans="1:21" x14ac:dyDescent="0.2">
      <c r="A33">
        <v>1031</v>
      </c>
      <c r="B33" t="s">
        <v>5</v>
      </c>
      <c r="C33" t="s">
        <v>14</v>
      </c>
      <c r="J33" s="3" t="s">
        <v>205</v>
      </c>
    </row>
    <row r="34" spans="1:21" x14ac:dyDescent="0.2">
      <c r="A34">
        <v>1032</v>
      </c>
      <c r="B34" t="s">
        <v>5</v>
      </c>
      <c r="C34" t="s">
        <v>8</v>
      </c>
      <c r="U34" t="s">
        <v>200</v>
      </c>
    </row>
    <row r="35" spans="1:21" x14ac:dyDescent="0.2">
      <c r="A35">
        <v>1033</v>
      </c>
      <c r="B35" t="s">
        <v>5</v>
      </c>
      <c r="C35" t="s">
        <v>8</v>
      </c>
      <c r="U35" t="s">
        <v>201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26AF5F79-60E2-3140-9754-1A108E3092E6}">
          <x14:formula1>
            <xm:f>'source data'!$B$39:$E$39</xm:f>
          </x14:formula1>
          <xm:sqref>E3 E12:E13</xm:sqref>
        </x14:dataValidation>
        <x14:dataValidation type="list" allowBlank="1" showInputMessage="1" showErrorMessage="1" xr:uid="{FD3DC4AE-6CDB-2A46-9713-D11D63B70950}">
          <x14:formula1>
            <xm:f>'source data'!$B$40:$D$40</xm:f>
          </x14:formula1>
          <xm:sqref>F2 F10:F11 F4</xm:sqref>
        </x14:dataValidation>
        <x14:dataValidation type="list" allowBlank="1" showInputMessage="1" showErrorMessage="1" xr:uid="{53269FAE-71D1-3641-A6E2-F87A256AC098}">
          <x14:formula1>
            <xm:f>'source data'!$B$41:$D$41</xm:f>
          </x14:formula1>
          <xm:sqref>G2</xm:sqref>
        </x14:dataValidation>
        <x14:dataValidation type="list" allowBlank="1" showInputMessage="1" showErrorMessage="1" xr:uid="{91FC5DB5-55D0-F84C-B623-40E21CCE2C98}">
          <x14:formula1>
            <xm:f>'source data'!$B$37:$J$37</xm:f>
          </x14:formula1>
          <xm:sqref>C2:C35</xm:sqref>
        </x14:dataValidation>
        <x14:dataValidation type="list" allowBlank="1" showInputMessage="1" showErrorMessage="1" xr:uid="{0A556A5B-54DA-9049-92BE-2BD1161E33AF}">
          <x14:formula1>
            <xm:f>'source data'!$B$42:$E$42</xm:f>
          </x14:formula1>
          <xm:sqref>H4 H10:H11</xm:sqref>
        </x14:dataValidation>
        <x14:dataValidation type="list" allowBlank="1" showInputMessage="1" showErrorMessage="1" xr:uid="{2C6553BD-7091-644C-B621-D017598FFB54}">
          <x14:formula1>
            <xm:f>'source data'!$B$51:$C$51</xm:f>
          </x14:formula1>
          <xm:sqref>Q6</xm:sqref>
        </x14:dataValidation>
        <x14:dataValidation type="list" allowBlank="1" showInputMessage="1" showErrorMessage="1" xr:uid="{E212E5DC-A121-2141-B85F-DB21518ACCFD}">
          <x14:formula1>
            <xm:f>'source data'!$B$52:$C$52</xm:f>
          </x14:formula1>
          <xm:sqref>R7</xm:sqref>
        </x14:dataValidation>
        <x14:dataValidation type="list" allowBlank="1" showInputMessage="1" showErrorMessage="1" xr:uid="{598FB967-41AD-3049-8A8A-8DB9FECA60C4}">
          <x14:formula1>
            <xm:f>'source data'!$B$50:$F$50</xm:f>
          </x14:formula1>
          <xm:sqref>P6:P9</xm:sqref>
        </x14:dataValidation>
        <x14:dataValidation type="list" allowBlank="1" showInputMessage="1" showErrorMessage="1" xr:uid="{B4069B7A-B679-FA47-9175-2B42348148D3}">
          <x14:formula1>
            <xm:f>'source data'!$B$53:$C$53</xm:f>
          </x14:formula1>
          <xm:sqref>S8</xm:sqref>
        </x14:dataValidation>
        <x14:dataValidation type="list" allowBlank="1" showInputMessage="1" showErrorMessage="1" xr:uid="{E579375B-E7FC-FD41-A298-CC9A6DD82AFE}">
          <x14:formula1>
            <xm:f>'source data'!$B$54:$C$54</xm:f>
          </x14:formula1>
          <xm:sqref>T9</xm:sqref>
        </x14:dataValidation>
        <x14:dataValidation type="list" allowBlank="1" showInputMessage="1" showErrorMessage="1" xr:uid="{7A50572B-C2C2-E349-8B65-77519535CC18}">
          <x14:formula1>
            <xm:f>'source data'!$B$55:$E$55</xm:f>
          </x14:formula1>
          <xm:sqref>U5 U34:U35</xm:sqref>
        </x14:dataValidation>
        <x14:dataValidation type="list" allowBlank="1" showInputMessage="1" showErrorMessage="1" xr:uid="{88025B1F-84EE-9943-AE8D-95E3FEACC277}">
          <x14:formula1>
            <xm:f>'source data'!$B$44:$J$44</xm:f>
          </x14:formula1>
          <xm:sqref>J14:J33</xm:sqref>
        </x14:dataValidation>
        <x14:dataValidation type="list" allowBlank="1" showInputMessage="1" showErrorMessage="1" xr:uid="{A1B27B6E-B972-D342-9D35-175EBB3336C3}">
          <x14:formula1>
            <xm:f>'source data'!$B$45:$F$45</xm:f>
          </x14:formula1>
          <xm:sqref>K14:K27</xm:sqref>
        </x14:dataValidation>
        <x14:dataValidation type="list" allowBlank="1" showInputMessage="1" showErrorMessage="1" xr:uid="{1C747F38-493E-DB49-AFC8-9C2F2B372B44}">
          <x14:formula1>
            <xm:f>'source data'!$B$36:$D$36</xm:f>
          </x14:formula1>
          <xm:sqref>B2:B35</xm:sqref>
        </x14:dataValidation>
        <x14:dataValidation type="list" allowBlank="1" showInputMessage="1" showErrorMessage="1" xr:uid="{63294864-C7F2-774C-8750-AE5A25202F47}">
          <x14:formula1>
            <xm:f>'source data'!$B$46:$E$46</xm:f>
          </x14:formula1>
          <xm:sqref>L14:L15 L25</xm:sqref>
        </x14:dataValidation>
        <x14:dataValidation type="list" allowBlank="1" showInputMessage="1" showErrorMessage="1" xr:uid="{CDB68E32-B3F3-E546-96C9-7A2DDC19F40F}">
          <x14:formula1>
            <xm:f>'source data'!$B$47:$K$47</xm:f>
          </x14:formula1>
          <xm:sqref>M16:M20 M26 M22:M24</xm:sqref>
        </x14:dataValidation>
        <x14:dataValidation type="list" allowBlank="1" showInputMessage="1" showErrorMessage="1" xr:uid="{E56CBA2F-DEF6-B142-837C-D24EE7B79ABE}">
          <x14:formula1>
            <xm:f>'source data'!$B$48:$C$48</xm:f>
          </x14:formula1>
          <xm:sqref>N21</xm:sqref>
        </x14:dataValidation>
        <x14:dataValidation type="list" allowBlank="1" showInputMessage="1" showErrorMessage="1" xr:uid="{1FD2297F-8A03-9248-A661-B4D43A518AAE}">
          <x14:formula1>
            <xm:f>'source data'!$B$49:$C$49</xm:f>
          </x14:formula1>
          <xm:sqref>O27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FD1F-7970-6946-956E-4E7803E30121}">
  <dimension ref="A1:C8"/>
  <sheetViews>
    <sheetView workbookViewId="0">
      <selection activeCell="C2" sqref="C2"/>
    </sheetView>
  </sheetViews>
  <sheetFormatPr baseColWidth="10" defaultRowHeight="16" x14ac:dyDescent="0.2"/>
  <cols>
    <col min="1" max="1" width="11" bestFit="1" customWidth="1"/>
    <col min="2" max="2" width="13.5" bestFit="1" customWidth="1"/>
    <col min="3" max="3" width="12.33203125" bestFit="1" customWidth="1"/>
  </cols>
  <sheetData>
    <row r="1" spans="1:3" x14ac:dyDescent="0.2">
      <c r="A1" t="s">
        <v>0</v>
      </c>
      <c r="B1" s="2" t="str">
        <f>'source data'!A58</f>
        <v>material_brand</v>
      </c>
      <c r="C1" s="2" t="str">
        <f>'source data'!A59</f>
        <v>material_type</v>
      </c>
    </row>
    <row r="2" spans="1:3" x14ac:dyDescent="0.2">
      <c r="A2">
        <v>2000</v>
      </c>
    </row>
    <row r="3" spans="1:3" x14ac:dyDescent="0.2">
      <c r="A3">
        <v>2001</v>
      </c>
    </row>
    <row r="4" spans="1:3" x14ac:dyDescent="0.2">
      <c r="A4">
        <v>2002</v>
      </c>
    </row>
    <row r="5" spans="1:3" x14ac:dyDescent="0.2">
      <c r="A5">
        <v>2003</v>
      </c>
    </row>
    <row r="6" spans="1:3" x14ac:dyDescent="0.2">
      <c r="A6">
        <v>2004</v>
      </c>
    </row>
    <row r="7" spans="1:3" x14ac:dyDescent="0.2">
      <c r="A7">
        <v>2005</v>
      </c>
    </row>
    <row r="8" spans="1:3" x14ac:dyDescent="0.2">
      <c r="A8">
        <v>2006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00E222E-4741-2046-9546-2B1F57FEAE40}">
          <x14:formula1>
            <xm:f>'source data'!$B$58:$C$58</xm:f>
          </x14:formula1>
          <xm:sqref>B2</xm:sqref>
        </x14:dataValidation>
        <x14:dataValidation type="list" allowBlank="1" showInputMessage="1" showErrorMessage="1" xr:uid="{722BC1B3-60F9-344B-BF83-F3E377C391AD}">
          <x14:formula1>
            <xm:f>'source data'!$B$59:$H$59</xm:f>
          </x14:formula1>
          <xm:sqref>C2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AC8E-4BEF-4A41-AE57-A20AB43D8E71}">
  <dimension ref="A1:G5"/>
  <sheetViews>
    <sheetView workbookViewId="0">
      <selection activeCell="A3" sqref="A3"/>
    </sheetView>
  </sheetViews>
  <sheetFormatPr baseColWidth="10" defaultRowHeight="16" x14ac:dyDescent="0.2"/>
  <cols>
    <col min="1" max="1" width="11" bestFit="1" customWidth="1"/>
    <col min="2" max="2" width="18" bestFit="1" customWidth="1"/>
    <col min="3" max="3" width="16.83203125" style="3" bestFit="1" customWidth="1"/>
    <col min="4" max="4" width="13.1640625" bestFit="1" customWidth="1"/>
    <col min="5" max="5" width="30" bestFit="1" customWidth="1"/>
    <col min="6" max="6" width="32.1640625" bestFit="1" customWidth="1"/>
    <col min="7" max="7" width="34.83203125" bestFit="1" customWidth="1"/>
  </cols>
  <sheetData>
    <row r="1" spans="1:7" x14ac:dyDescent="0.2">
      <c r="A1" t="s">
        <v>0</v>
      </c>
      <c r="B1" t="str">
        <f>'source data'!A62</f>
        <v>makersSupply_brand</v>
      </c>
      <c r="C1" s="3" t="str">
        <f>'source data'!A63</f>
        <v>makersSupply_type</v>
      </c>
      <c r="D1" t="str">
        <f>'source data'!A64</f>
        <v>hardware_type</v>
      </c>
      <c r="E1" t="str">
        <f>'source data'!A65</f>
        <v>fastener_type</v>
      </c>
      <c r="F1" t="str">
        <f>'source data'!A66</f>
        <v>spring_type</v>
      </c>
      <c r="G1" t="str">
        <f>'source data'!A67</f>
        <v>magnet_type</v>
      </c>
    </row>
    <row r="2" spans="1:7" x14ac:dyDescent="0.2">
      <c r="A2">
        <v>3000</v>
      </c>
      <c r="B2" t="s">
        <v>5</v>
      </c>
      <c r="C2" s="3" t="s">
        <v>25</v>
      </c>
      <c r="D2" t="s">
        <v>176</v>
      </c>
      <c r="G2" t="s">
        <v>210</v>
      </c>
    </row>
    <row r="3" spans="1:7" x14ac:dyDescent="0.2">
      <c r="A3">
        <v>3001</v>
      </c>
      <c r="B3" t="s">
        <v>5</v>
      </c>
      <c r="C3" s="3" t="s">
        <v>25</v>
      </c>
      <c r="D3" t="s">
        <v>17</v>
      </c>
      <c r="E3" t="s">
        <v>212</v>
      </c>
    </row>
    <row r="4" spans="1:7" x14ac:dyDescent="0.2">
      <c r="A4">
        <v>3002</v>
      </c>
      <c r="B4" t="s">
        <v>5</v>
      </c>
      <c r="C4" s="3" t="s">
        <v>25</v>
      </c>
      <c r="D4" t="s">
        <v>17</v>
      </c>
      <c r="E4" t="s">
        <v>213</v>
      </c>
    </row>
    <row r="5" spans="1:7" x14ac:dyDescent="0.2">
      <c r="A5">
        <v>3003</v>
      </c>
      <c r="B5" t="s">
        <v>5</v>
      </c>
      <c r="C5" s="3" t="s">
        <v>25</v>
      </c>
      <c r="D5" t="s">
        <v>175</v>
      </c>
      <c r="F5" t="s">
        <v>211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C50A04D-AC8F-2748-BBA2-19B3116BE567}">
          <x14:formula1>
            <xm:f>'source data'!$B$62:$C$62</xm:f>
          </x14:formula1>
          <xm:sqref>B2:B7</xm:sqref>
        </x14:dataValidation>
        <x14:dataValidation type="list" allowBlank="1" showInputMessage="1" showErrorMessage="1" xr:uid="{2149E07B-12C7-2641-AA03-67619A4F18D1}">
          <x14:formula1>
            <xm:f>'source data'!$B$63:$E$63</xm:f>
          </x14:formula1>
          <xm:sqref>C2:C7</xm:sqref>
        </x14:dataValidation>
        <x14:dataValidation type="list" allowBlank="1" showInputMessage="1" showErrorMessage="1" xr:uid="{CB9A1464-57FA-4E40-9743-DAEEF34DC262}">
          <x14:formula1>
            <xm:f>'source data'!$B$64:$E$64</xm:f>
          </x14:formula1>
          <xm:sqref>D2:D7</xm:sqref>
        </x14:dataValidation>
        <x14:dataValidation type="list" allowBlank="1" showInputMessage="1" showErrorMessage="1" xr:uid="{1B36527F-BE26-0A44-A5CE-AA1EFCDF44C5}">
          <x14:formula1>
            <xm:f>'source data'!$B$65:$D$65</xm:f>
          </x14:formula1>
          <xm:sqref>E3:E4</xm:sqref>
        </x14:dataValidation>
        <x14:dataValidation type="list" allowBlank="1" showInputMessage="1" showErrorMessage="1" xr:uid="{C7A3A968-9FBD-F249-B926-ED79BCF5A961}">
          <x14:formula1>
            <xm:f>'source data'!$B$66:$C$66</xm:f>
          </x14:formula1>
          <xm:sqref>F5</xm:sqref>
        </x14:dataValidation>
        <x14:dataValidation type="list" allowBlank="1" showInputMessage="1" showErrorMessage="1" xr:uid="{37FAC6D8-5E73-BC4C-8A4B-5EA975A71C7D}">
          <x14:formula1>
            <xm:f>'source data'!$B$67:$C$67</xm:f>
          </x14:formula1>
          <xm:sqref>G2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B902-14F3-9C4E-93E4-1EF8E6A239BE}">
  <dimension ref="A1:E80"/>
  <sheetViews>
    <sheetView tabSelected="1" topLeftCell="A60" zoomScale="118" workbookViewId="0">
      <selection activeCell="E83" sqref="E83"/>
    </sheetView>
  </sheetViews>
  <sheetFormatPr baseColWidth="10" defaultRowHeight="16" x14ac:dyDescent="0.2"/>
  <cols>
    <col min="1" max="1" width="11" bestFit="1" customWidth="1"/>
    <col min="2" max="2" width="13.1640625" bestFit="1" customWidth="1"/>
    <col min="3" max="3" width="21.83203125" bestFit="1" customWidth="1"/>
    <col min="4" max="4" width="15.33203125" bestFit="1" customWidth="1"/>
    <col min="5" max="5" width="12" bestFit="1" customWidth="1"/>
  </cols>
  <sheetData>
    <row r="1" spans="1:5" x14ac:dyDescent="0.2">
      <c r="A1" t="s">
        <v>0</v>
      </c>
      <c r="B1" t="str">
        <f>'source data'!A70</f>
        <v>purchase_date</v>
      </c>
      <c r="C1" t="str">
        <f>'source data'!A71</f>
        <v>purchase_orderNumber</v>
      </c>
      <c r="D1" t="str">
        <f>'source data'!A72</f>
        <v>purchase_store</v>
      </c>
      <c r="E1" t="s">
        <v>119</v>
      </c>
    </row>
    <row r="2" spans="1:5" x14ac:dyDescent="0.2">
      <c r="A2">
        <f>inventory_printer!A2</f>
        <v>1</v>
      </c>
      <c r="B2" s="20">
        <v>45539</v>
      </c>
      <c r="C2" t="s">
        <v>135</v>
      </c>
      <c r="D2" t="s">
        <v>2</v>
      </c>
      <c r="E2">
        <v>1</v>
      </c>
    </row>
    <row r="3" spans="1:5" x14ac:dyDescent="0.2">
      <c r="A3">
        <f>inventory_filament!A2</f>
        <v>100</v>
      </c>
      <c r="B3" s="20">
        <v>45539</v>
      </c>
      <c r="C3" t="s">
        <v>135</v>
      </c>
      <c r="D3" t="s">
        <v>2</v>
      </c>
      <c r="E3">
        <v>1</v>
      </c>
    </row>
    <row r="4" spans="1:5" x14ac:dyDescent="0.2">
      <c r="A4">
        <f>inventory_filament!A3</f>
        <v>101</v>
      </c>
      <c r="B4" s="20">
        <v>45539</v>
      </c>
      <c r="C4" t="s">
        <v>135</v>
      </c>
      <c r="D4" t="s">
        <v>2</v>
      </c>
      <c r="E4">
        <v>1</v>
      </c>
    </row>
    <row r="5" spans="1:5" x14ac:dyDescent="0.2">
      <c r="A5">
        <f>inventory_accessories!A2</f>
        <v>1000</v>
      </c>
      <c r="B5" s="20">
        <v>45556</v>
      </c>
      <c r="C5" t="s">
        <v>138</v>
      </c>
      <c r="D5" t="s">
        <v>2</v>
      </c>
      <c r="E5">
        <v>1</v>
      </c>
    </row>
    <row r="6" spans="1:5" x14ac:dyDescent="0.2">
      <c r="A6">
        <f>inventory_filament!A4</f>
        <v>102</v>
      </c>
      <c r="B6" s="20">
        <v>45578</v>
      </c>
      <c r="C6" t="s">
        <v>146</v>
      </c>
      <c r="D6" t="s">
        <v>137</v>
      </c>
      <c r="E6">
        <v>2</v>
      </c>
    </row>
    <row r="7" spans="1:5" x14ac:dyDescent="0.2">
      <c r="A7">
        <f>inventory_filament!A6</f>
        <v>104</v>
      </c>
      <c r="B7" s="20">
        <v>45578</v>
      </c>
      <c r="C7" t="s">
        <v>149</v>
      </c>
      <c r="D7" t="s">
        <v>136</v>
      </c>
      <c r="E7">
        <v>1</v>
      </c>
    </row>
    <row r="8" spans="1:5" x14ac:dyDescent="0.2">
      <c r="A8">
        <f>inventory_filament!A7</f>
        <v>105</v>
      </c>
      <c r="B8" s="20">
        <v>45578</v>
      </c>
      <c r="C8" t="s">
        <v>149</v>
      </c>
      <c r="D8" t="s">
        <v>136</v>
      </c>
      <c r="E8">
        <v>1</v>
      </c>
    </row>
    <row r="9" spans="1:5" x14ac:dyDescent="0.2">
      <c r="A9">
        <f>inventory_filament!A8</f>
        <v>106</v>
      </c>
      <c r="B9" s="20">
        <v>45578</v>
      </c>
      <c r="C9" t="s">
        <v>149</v>
      </c>
      <c r="D9" t="s">
        <v>136</v>
      </c>
      <c r="E9">
        <v>1</v>
      </c>
    </row>
    <row r="10" spans="1:5" x14ac:dyDescent="0.2">
      <c r="A10">
        <f>inventory_filament!A9</f>
        <v>107</v>
      </c>
      <c r="B10" s="20">
        <v>45578</v>
      </c>
      <c r="C10" t="s">
        <v>149</v>
      </c>
      <c r="D10" t="s">
        <v>136</v>
      </c>
      <c r="E10">
        <v>1</v>
      </c>
    </row>
    <row r="11" spans="1:5" x14ac:dyDescent="0.2">
      <c r="A11">
        <f>inventory_filament!A21</f>
        <v>119</v>
      </c>
      <c r="B11" s="20">
        <v>45578</v>
      </c>
      <c r="C11" t="s">
        <v>149</v>
      </c>
      <c r="D11" t="s">
        <v>136</v>
      </c>
      <c r="E11">
        <v>1</v>
      </c>
    </row>
    <row r="12" spans="1:5" x14ac:dyDescent="0.2">
      <c r="A12">
        <f>inventory_filament!A28</f>
        <v>126</v>
      </c>
      <c r="B12" s="20">
        <v>45578</v>
      </c>
      <c r="C12" t="s">
        <v>149</v>
      </c>
      <c r="D12" t="s">
        <v>136</v>
      </c>
      <c r="E12">
        <v>1</v>
      </c>
    </row>
    <row r="13" spans="1:5" x14ac:dyDescent="0.2">
      <c r="A13">
        <f>inventory_filament!A34</f>
        <v>132</v>
      </c>
      <c r="B13" s="20">
        <v>45578</v>
      </c>
      <c r="C13" t="s">
        <v>149</v>
      </c>
      <c r="D13" t="s">
        <v>136</v>
      </c>
      <c r="E13">
        <v>1</v>
      </c>
    </row>
    <row r="14" spans="1:5" x14ac:dyDescent="0.2">
      <c r="A14">
        <f>inventory_filament!A16</f>
        <v>114</v>
      </c>
      <c r="B14" s="20">
        <v>45596</v>
      </c>
      <c r="C14" t="s">
        <v>151</v>
      </c>
      <c r="D14" t="s">
        <v>136</v>
      </c>
      <c r="E14">
        <v>1</v>
      </c>
    </row>
    <row r="15" spans="1:5" x14ac:dyDescent="0.2">
      <c r="A15">
        <f>inventory_filament!A20</f>
        <v>118</v>
      </c>
      <c r="B15" s="20">
        <v>45596</v>
      </c>
      <c r="C15" t="s">
        <v>151</v>
      </c>
      <c r="D15" t="s">
        <v>136</v>
      </c>
      <c r="E15">
        <v>1</v>
      </c>
    </row>
    <row r="16" spans="1:5" x14ac:dyDescent="0.2">
      <c r="A16">
        <f>inventory_filament!A14</f>
        <v>112</v>
      </c>
      <c r="B16" s="20">
        <v>45596</v>
      </c>
      <c r="C16" t="s">
        <v>151</v>
      </c>
      <c r="D16" t="s">
        <v>136</v>
      </c>
      <c r="E16">
        <v>1</v>
      </c>
    </row>
    <row r="17" spans="1:5" x14ac:dyDescent="0.2">
      <c r="A17">
        <f>inventory_filament!A26</f>
        <v>124</v>
      </c>
      <c r="B17" s="20">
        <v>45596</v>
      </c>
      <c r="C17" t="s">
        <v>151</v>
      </c>
      <c r="D17" t="s">
        <v>136</v>
      </c>
      <c r="E17">
        <v>1</v>
      </c>
    </row>
    <row r="18" spans="1:5" x14ac:dyDescent="0.2">
      <c r="A18">
        <f>inventory_filament!A10</f>
        <v>108</v>
      </c>
      <c r="B18" s="20">
        <v>45596</v>
      </c>
      <c r="C18" t="s">
        <v>151</v>
      </c>
      <c r="D18" t="s">
        <v>136</v>
      </c>
      <c r="E18">
        <v>1</v>
      </c>
    </row>
    <row r="19" spans="1:5" x14ac:dyDescent="0.2">
      <c r="A19">
        <f>inventory_filament!A31</f>
        <v>129</v>
      </c>
      <c r="B19" s="20">
        <v>45596</v>
      </c>
      <c r="C19" t="s">
        <v>151</v>
      </c>
      <c r="D19" t="s">
        <v>136</v>
      </c>
      <c r="E19">
        <v>1</v>
      </c>
    </row>
    <row r="20" spans="1:5" x14ac:dyDescent="0.2">
      <c r="A20">
        <f>inventory_filament!A24</f>
        <v>122</v>
      </c>
      <c r="B20" s="20">
        <v>45596</v>
      </c>
      <c r="C20" t="s">
        <v>151</v>
      </c>
      <c r="D20" t="s">
        <v>136</v>
      </c>
      <c r="E20">
        <v>1</v>
      </c>
    </row>
    <row r="21" spans="1:5" x14ac:dyDescent="0.2">
      <c r="A21">
        <f>inventory_accessories!A8</f>
        <v>1006</v>
      </c>
      <c r="B21" s="20">
        <v>45596</v>
      </c>
      <c r="C21" t="s">
        <v>158</v>
      </c>
      <c r="D21" t="s">
        <v>159</v>
      </c>
      <c r="E21">
        <v>1</v>
      </c>
    </row>
    <row r="22" spans="1:5" x14ac:dyDescent="0.2">
      <c r="A22">
        <f>inventory_AMS!A2</f>
        <v>50</v>
      </c>
      <c r="B22" s="20">
        <v>45597</v>
      </c>
      <c r="C22" t="s">
        <v>140</v>
      </c>
      <c r="D22" t="s">
        <v>2</v>
      </c>
      <c r="E22">
        <v>1</v>
      </c>
    </row>
    <row r="23" spans="1:5" x14ac:dyDescent="0.2">
      <c r="A23">
        <f>inventory_filament!A5</f>
        <v>103</v>
      </c>
      <c r="B23" s="20">
        <v>45597</v>
      </c>
      <c r="C23" t="s">
        <v>152</v>
      </c>
      <c r="D23" t="s">
        <v>136</v>
      </c>
      <c r="E23">
        <v>1</v>
      </c>
    </row>
    <row r="24" spans="1:5" x14ac:dyDescent="0.2">
      <c r="A24">
        <f>inventory_filament!A33</f>
        <v>131</v>
      </c>
      <c r="B24" s="20">
        <v>45597</v>
      </c>
      <c r="C24" t="s">
        <v>152</v>
      </c>
      <c r="D24" t="s">
        <v>136</v>
      </c>
      <c r="E24">
        <v>1</v>
      </c>
    </row>
    <row r="25" spans="1:5" x14ac:dyDescent="0.2">
      <c r="A25">
        <f>inventory_filament!A35</f>
        <v>133</v>
      </c>
      <c r="B25" s="20">
        <v>45597</v>
      </c>
      <c r="C25" t="s">
        <v>152</v>
      </c>
      <c r="D25" t="s">
        <v>136</v>
      </c>
      <c r="E25">
        <v>1</v>
      </c>
    </row>
    <row r="26" spans="1:5" x14ac:dyDescent="0.2">
      <c r="A26">
        <f>inventory_accessories!A3</f>
        <v>1001</v>
      </c>
      <c r="B26" s="20">
        <v>45597</v>
      </c>
      <c r="C26" t="s">
        <v>140</v>
      </c>
      <c r="D26" t="s">
        <v>2</v>
      </c>
      <c r="E26">
        <v>1</v>
      </c>
    </row>
    <row r="27" spans="1:5" x14ac:dyDescent="0.2">
      <c r="A27">
        <f>inventory_accessories!A4</f>
        <v>1002</v>
      </c>
      <c r="B27" s="20">
        <v>45597</v>
      </c>
      <c r="C27" t="s">
        <v>140</v>
      </c>
      <c r="D27" t="s">
        <v>2</v>
      </c>
      <c r="E27">
        <v>1</v>
      </c>
    </row>
    <row r="28" spans="1:5" x14ac:dyDescent="0.2">
      <c r="A28">
        <f>inventory_accessories!A5</f>
        <v>1003</v>
      </c>
      <c r="B28" s="20">
        <v>45597</v>
      </c>
      <c r="C28" t="s">
        <v>140</v>
      </c>
      <c r="D28" t="s">
        <v>2</v>
      </c>
      <c r="E28">
        <v>1</v>
      </c>
    </row>
    <row r="29" spans="1:5" x14ac:dyDescent="0.2">
      <c r="A29">
        <f>inventory_accessories!A6</f>
        <v>1004</v>
      </c>
      <c r="B29" s="20">
        <v>45597</v>
      </c>
      <c r="C29" t="s">
        <v>152</v>
      </c>
      <c r="D29" t="s">
        <v>136</v>
      </c>
      <c r="E29">
        <v>1</v>
      </c>
    </row>
    <row r="30" spans="1:5" x14ac:dyDescent="0.2">
      <c r="A30">
        <f>inventory_accessories!A7</f>
        <v>1005</v>
      </c>
      <c r="B30" s="20">
        <v>45597</v>
      </c>
      <c r="C30" t="s">
        <v>152</v>
      </c>
      <c r="D30" t="s">
        <v>136</v>
      </c>
      <c r="E30">
        <v>1</v>
      </c>
    </row>
    <row r="31" spans="1:5" x14ac:dyDescent="0.2">
      <c r="A31">
        <f>inventory_accessories!A10</f>
        <v>1008</v>
      </c>
      <c r="B31" s="20">
        <v>45598</v>
      </c>
      <c r="C31" t="s">
        <v>165</v>
      </c>
      <c r="D31" t="s">
        <v>2</v>
      </c>
      <c r="E31">
        <v>1</v>
      </c>
    </row>
    <row r="32" spans="1:5" x14ac:dyDescent="0.2">
      <c r="A32">
        <f>inventory_accessories!A11</f>
        <v>1009</v>
      </c>
      <c r="B32" s="20">
        <v>45598</v>
      </c>
      <c r="C32" t="s">
        <v>165</v>
      </c>
      <c r="D32" t="s">
        <v>2</v>
      </c>
      <c r="E32">
        <v>1</v>
      </c>
    </row>
    <row r="33" spans="1:5" x14ac:dyDescent="0.2">
      <c r="A33">
        <f>inventory_accessories!A12</f>
        <v>1010</v>
      </c>
      <c r="B33" s="20">
        <v>45598</v>
      </c>
      <c r="C33" t="s">
        <v>165</v>
      </c>
      <c r="D33" t="s">
        <v>2</v>
      </c>
      <c r="E33">
        <v>1</v>
      </c>
    </row>
    <row r="34" spans="1:5" x14ac:dyDescent="0.2">
      <c r="A34">
        <f>inventory_accessories!A14</f>
        <v>1012</v>
      </c>
      <c r="B34" s="20">
        <v>45598</v>
      </c>
      <c r="C34" t="s">
        <v>165</v>
      </c>
      <c r="D34" t="s">
        <v>2</v>
      </c>
      <c r="E34">
        <v>10</v>
      </c>
    </row>
    <row r="35" spans="1:5" x14ac:dyDescent="0.2">
      <c r="A35">
        <f>inventory_accessories!A15</f>
        <v>1013</v>
      </c>
      <c r="B35" s="20">
        <v>45598</v>
      </c>
      <c r="C35" t="s">
        <v>165</v>
      </c>
      <c r="D35" t="s">
        <v>2</v>
      </c>
      <c r="E35">
        <v>10</v>
      </c>
    </row>
    <row r="36" spans="1:5" x14ac:dyDescent="0.2">
      <c r="A36">
        <f>inventory_accessories!A16</f>
        <v>1014</v>
      </c>
      <c r="B36" s="20">
        <v>45598</v>
      </c>
      <c r="C36" t="s">
        <v>165</v>
      </c>
      <c r="D36" t="s">
        <v>2</v>
      </c>
      <c r="E36">
        <v>20</v>
      </c>
    </row>
    <row r="37" spans="1:5" x14ac:dyDescent="0.2">
      <c r="A37">
        <f>inventory_accessories!A17</f>
        <v>1015</v>
      </c>
      <c r="B37" s="20">
        <v>45598</v>
      </c>
      <c r="C37" t="s">
        <v>165</v>
      </c>
      <c r="D37" t="s">
        <v>2</v>
      </c>
      <c r="E37">
        <v>10</v>
      </c>
    </row>
    <row r="38" spans="1:5" x14ac:dyDescent="0.2">
      <c r="A38">
        <f>inventory_accessories!A18</f>
        <v>1016</v>
      </c>
      <c r="B38" s="20">
        <v>45598</v>
      </c>
      <c r="C38" t="s">
        <v>165</v>
      </c>
      <c r="D38" t="s">
        <v>2</v>
      </c>
      <c r="E38">
        <v>20</v>
      </c>
    </row>
    <row r="39" spans="1:5" x14ac:dyDescent="0.2">
      <c r="A39">
        <f>inventory_accessories!A19</f>
        <v>1017</v>
      </c>
      <c r="B39" s="20">
        <v>45598</v>
      </c>
      <c r="C39" t="s">
        <v>165</v>
      </c>
      <c r="D39" t="s">
        <v>2</v>
      </c>
      <c r="E39">
        <v>10</v>
      </c>
    </row>
    <row r="40" spans="1:5" x14ac:dyDescent="0.2">
      <c r="A40">
        <f>inventory_accessories!A20</f>
        <v>1018</v>
      </c>
      <c r="B40" s="20">
        <v>45598</v>
      </c>
      <c r="C40" t="s">
        <v>165</v>
      </c>
      <c r="D40" t="s">
        <v>2</v>
      </c>
      <c r="E40">
        <v>5</v>
      </c>
    </row>
    <row r="41" spans="1:5" x14ac:dyDescent="0.2">
      <c r="A41">
        <f>inventory_accessories!A21</f>
        <v>1019</v>
      </c>
      <c r="B41" s="20">
        <v>45598</v>
      </c>
      <c r="C41" t="s">
        <v>165</v>
      </c>
      <c r="D41" t="s">
        <v>2</v>
      </c>
      <c r="E41">
        <v>10</v>
      </c>
    </row>
    <row r="42" spans="1:5" x14ac:dyDescent="0.2">
      <c r="A42">
        <f>inventory_accessories!A22</f>
        <v>1020</v>
      </c>
      <c r="B42" s="20">
        <v>45598</v>
      </c>
      <c r="C42" t="s">
        <v>165</v>
      </c>
      <c r="D42" t="s">
        <v>2</v>
      </c>
      <c r="E42">
        <v>10</v>
      </c>
    </row>
    <row r="43" spans="1:5" x14ac:dyDescent="0.2">
      <c r="A43">
        <f>inventory_accessories!A23</f>
        <v>1021</v>
      </c>
      <c r="B43" s="20">
        <v>45598</v>
      </c>
      <c r="C43" t="s">
        <v>165</v>
      </c>
      <c r="D43" t="s">
        <v>2</v>
      </c>
      <c r="E43">
        <v>10</v>
      </c>
    </row>
    <row r="44" spans="1:5" x14ac:dyDescent="0.2">
      <c r="A44">
        <f>inventory_accessories!A24</f>
        <v>1022</v>
      </c>
      <c r="B44" s="20">
        <v>45598</v>
      </c>
      <c r="C44" t="s">
        <v>165</v>
      </c>
      <c r="D44" t="s">
        <v>2</v>
      </c>
      <c r="E44">
        <v>10</v>
      </c>
    </row>
    <row r="45" spans="1:5" x14ac:dyDescent="0.2">
      <c r="A45">
        <f>inventory_accessories!A25</f>
        <v>1023</v>
      </c>
      <c r="B45" s="20">
        <v>45598</v>
      </c>
      <c r="C45" t="s">
        <v>165</v>
      </c>
      <c r="D45" t="s">
        <v>2</v>
      </c>
      <c r="E45">
        <v>5</v>
      </c>
    </row>
    <row r="46" spans="1:5" x14ac:dyDescent="0.2">
      <c r="A46">
        <f>inventory_accessories!A26</f>
        <v>1024</v>
      </c>
      <c r="B46" s="20">
        <v>45598</v>
      </c>
      <c r="C46" t="s">
        <v>165</v>
      </c>
      <c r="D46" t="s">
        <v>2</v>
      </c>
      <c r="E46">
        <v>20</v>
      </c>
    </row>
    <row r="47" spans="1:5" x14ac:dyDescent="0.2">
      <c r="A47">
        <f>inventory_accessories!A27</f>
        <v>1025</v>
      </c>
      <c r="B47" s="20">
        <v>45598</v>
      </c>
      <c r="C47" t="s">
        <v>165</v>
      </c>
      <c r="D47" t="s">
        <v>2</v>
      </c>
      <c r="E47">
        <v>5</v>
      </c>
    </row>
    <row r="48" spans="1:5" x14ac:dyDescent="0.2">
      <c r="A48">
        <f>inventory_accessories!A28</f>
        <v>1026</v>
      </c>
      <c r="B48" s="20">
        <v>45598</v>
      </c>
      <c r="C48" t="s">
        <v>165</v>
      </c>
      <c r="D48" t="s">
        <v>2</v>
      </c>
      <c r="E48">
        <v>1</v>
      </c>
    </row>
    <row r="49" spans="1:5" x14ac:dyDescent="0.2">
      <c r="A49">
        <f>inventory_accessories!A29</f>
        <v>1027</v>
      </c>
      <c r="B49" s="20">
        <v>45598</v>
      </c>
      <c r="C49" t="s">
        <v>165</v>
      </c>
      <c r="D49" t="s">
        <v>2</v>
      </c>
      <c r="E49">
        <v>3</v>
      </c>
    </row>
    <row r="50" spans="1:5" x14ac:dyDescent="0.2">
      <c r="A50">
        <f>inventory_accessories!A30</f>
        <v>1028</v>
      </c>
      <c r="B50" s="20">
        <v>45598</v>
      </c>
      <c r="C50" t="s">
        <v>165</v>
      </c>
      <c r="D50" t="s">
        <v>2</v>
      </c>
      <c r="E50">
        <v>2</v>
      </c>
    </row>
    <row r="51" spans="1:5" x14ac:dyDescent="0.2">
      <c r="A51">
        <f>inventory_accessories!A31</f>
        <v>1029</v>
      </c>
      <c r="B51" s="20">
        <v>45598</v>
      </c>
      <c r="C51" t="s">
        <v>165</v>
      </c>
      <c r="D51" t="s">
        <v>2</v>
      </c>
      <c r="E51">
        <v>3</v>
      </c>
    </row>
    <row r="52" spans="1:5" x14ac:dyDescent="0.2">
      <c r="A52">
        <f>inventory_accessories!A32</f>
        <v>1030</v>
      </c>
      <c r="B52" s="20">
        <v>45598</v>
      </c>
      <c r="C52" t="s">
        <v>165</v>
      </c>
      <c r="D52" t="s">
        <v>2</v>
      </c>
      <c r="E52">
        <v>1</v>
      </c>
    </row>
    <row r="53" spans="1:5" x14ac:dyDescent="0.2">
      <c r="A53">
        <f>inventory_accessories!A33</f>
        <v>1031</v>
      </c>
      <c r="B53" s="20">
        <v>45598</v>
      </c>
      <c r="C53" t="s">
        <v>165</v>
      </c>
      <c r="D53" t="s">
        <v>2</v>
      </c>
      <c r="E53">
        <v>3</v>
      </c>
    </row>
    <row r="54" spans="1:5" x14ac:dyDescent="0.2">
      <c r="A54">
        <f>inventory_accessories!A34</f>
        <v>1032</v>
      </c>
      <c r="B54" s="20">
        <v>45598</v>
      </c>
      <c r="C54" t="s">
        <v>165</v>
      </c>
      <c r="D54" t="s">
        <v>2</v>
      </c>
      <c r="E54">
        <v>2</v>
      </c>
    </row>
    <row r="55" spans="1:5" x14ac:dyDescent="0.2">
      <c r="A55">
        <f>inventory_accessories!A35</f>
        <v>1033</v>
      </c>
      <c r="B55" s="20">
        <v>45598</v>
      </c>
      <c r="C55" t="s">
        <v>165</v>
      </c>
      <c r="D55" t="s">
        <v>2</v>
      </c>
      <c r="E55">
        <v>2</v>
      </c>
    </row>
    <row r="56" spans="1:5" x14ac:dyDescent="0.2">
      <c r="A56">
        <f>inventory_accessories!A9</f>
        <v>1007</v>
      </c>
      <c r="B56" s="20">
        <v>45613</v>
      </c>
      <c r="C56" t="s">
        <v>164</v>
      </c>
      <c r="D56" t="s">
        <v>159</v>
      </c>
      <c r="E56">
        <v>1</v>
      </c>
    </row>
    <row r="57" spans="1:5" x14ac:dyDescent="0.2">
      <c r="A57">
        <f>inventory_filament!A11</f>
        <v>109</v>
      </c>
      <c r="B57" s="20">
        <v>45622</v>
      </c>
      <c r="C57" t="s">
        <v>156</v>
      </c>
      <c r="D57" t="s">
        <v>136</v>
      </c>
      <c r="E57">
        <v>1</v>
      </c>
    </row>
    <row r="58" spans="1:5" x14ac:dyDescent="0.2">
      <c r="A58">
        <f>inventory_filament!A17</f>
        <v>115</v>
      </c>
      <c r="B58" s="20">
        <v>45622</v>
      </c>
      <c r="C58" t="s">
        <v>156</v>
      </c>
      <c r="D58" t="s">
        <v>136</v>
      </c>
      <c r="E58">
        <v>1</v>
      </c>
    </row>
    <row r="59" spans="1:5" x14ac:dyDescent="0.2">
      <c r="A59">
        <f>inventory_filament!A19</f>
        <v>117</v>
      </c>
      <c r="B59" s="20">
        <v>45622</v>
      </c>
      <c r="C59" t="s">
        <v>156</v>
      </c>
      <c r="D59" t="s">
        <v>136</v>
      </c>
      <c r="E59">
        <v>1</v>
      </c>
    </row>
    <row r="60" spans="1:5" x14ac:dyDescent="0.2">
      <c r="A60">
        <f>inventory_filament!A21</f>
        <v>119</v>
      </c>
      <c r="B60" s="20">
        <v>45622</v>
      </c>
      <c r="C60" t="s">
        <v>156</v>
      </c>
      <c r="D60" t="s">
        <v>136</v>
      </c>
      <c r="E60">
        <v>1</v>
      </c>
    </row>
    <row r="61" spans="1:5" x14ac:dyDescent="0.2">
      <c r="A61">
        <f>inventory_filament!A29</f>
        <v>127</v>
      </c>
      <c r="B61" s="20">
        <v>45622</v>
      </c>
      <c r="C61" t="s">
        <v>156</v>
      </c>
      <c r="D61" t="s">
        <v>136</v>
      </c>
      <c r="E61">
        <v>1</v>
      </c>
    </row>
    <row r="62" spans="1:5" x14ac:dyDescent="0.2">
      <c r="A62">
        <f>inventory_filament!A30</f>
        <v>128</v>
      </c>
      <c r="B62" s="20">
        <v>45622</v>
      </c>
      <c r="C62" t="s">
        <v>156</v>
      </c>
      <c r="D62" t="s">
        <v>136</v>
      </c>
      <c r="E62">
        <v>2</v>
      </c>
    </row>
    <row r="63" spans="1:5" x14ac:dyDescent="0.2">
      <c r="A63">
        <f>inventory_filament!A32</f>
        <v>130</v>
      </c>
      <c r="B63" s="20">
        <v>45622</v>
      </c>
      <c r="C63" t="s">
        <v>156</v>
      </c>
      <c r="D63" t="s">
        <v>136</v>
      </c>
      <c r="E63">
        <v>1</v>
      </c>
    </row>
    <row r="64" spans="1:5" x14ac:dyDescent="0.2">
      <c r="A64">
        <f>inventory_filament!A8</f>
        <v>106</v>
      </c>
      <c r="B64" s="20">
        <v>45652</v>
      </c>
      <c r="C64" t="s">
        <v>157</v>
      </c>
      <c r="D64" t="s">
        <v>136</v>
      </c>
      <c r="E64">
        <v>1</v>
      </c>
    </row>
    <row r="65" spans="1:5" x14ac:dyDescent="0.2">
      <c r="A65">
        <f>inventory_filament!A12</f>
        <v>110</v>
      </c>
      <c r="B65" s="20">
        <v>45652</v>
      </c>
      <c r="C65" t="s">
        <v>157</v>
      </c>
      <c r="D65" t="s">
        <v>136</v>
      </c>
      <c r="E65">
        <v>1</v>
      </c>
    </row>
    <row r="66" spans="1:5" x14ac:dyDescent="0.2">
      <c r="A66">
        <f>inventory_filament!A13</f>
        <v>111</v>
      </c>
      <c r="B66" s="20">
        <v>45652</v>
      </c>
      <c r="C66" t="s">
        <v>157</v>
      </c>
      <c r="D66" t="s">
        <v>136</v>
      </c>
      <c r="E66">
        <v>1</v>
      </c>
    </row>
    <row r="67" spans="1:5" x14ac:dyDescent="0.2">
      <c r="A67">
        <f>inventory_filament!A15</f>
        <v>113</v>
      </c>
      <c r="B67" s="20">
        <v>45652</v>
      </c>
      <c r="C67" t="s">
        <v>157</v>
      </c>
      <c r="D67" t="s">
        <v>136</v>
      </c>
      <c r="E67">
        <v>1</v>
      </c>
    </row>
    <row r="68" spans="1:5" x14ac:dyDescent="0.2">
      <c r="A68">
        <f>inventory_filament!A18</f>
        <v>116</v>
      </c>
      <c r="B68" s="20">
        <v>45652</v>
      </c>
      <c r="C68" t="s">
        <v>157</v>
      </c>
      <c r="D68" t="s">
        <v>136</v>
      </c>
      <c r="E68">
        <v>1</v>
      </c>
    </row>
    <row r="69" spans="1:5" x14ac:dyDescent="0.2">
      <c r="A69">
        <f>inventory_filament!A20</f>
        <v>118</v>
      </c>
      <c r="B69" s="20">
        <v>45652</v>
      </c>
      <c r="C69" t="s">
        <v>157</v>
      </c>
      <c r="D69" t="s">
        <v>136</v>
      </c>
      <c r="E69">
        <v>1</v>
      </c>
    </row>
    <row r="70" spans="1:5" x14ac:dyDescent="0.2">
      <c r="A70">
        <f>inventory_filament!A22</f>
        <v>120</v>
      </c>
      <c r="B70" s="20">
        <v>45652</v>
      </c>
      <c r="C70" t="s">
        <v>157</v>
      </c>
      <c r="D70" t="s">
        <v>136</v>
      </c>
      <c r="E70">
        <v>1</v>
      </c>
    </row>
    <row r="71" spans="1:5" x14ac:dyDescent="0.2">
      <c r="A71">
        <f>inventory_filament!A25</f>
        <v>123</v>
      </c>
      <c r="B71" s="20">
        <v>45652</v>
      </c>
      <c r="C71" t="s">
        <v>157</v>
      </c>
      <c r="D71" t="s">
        <v>136</v>
      </c>
      <c r="E71">
        <v>1</v>
      </c>
    </row>
    <row r="72" spans="1:5" x14ac:dyDescent="0.2">
      <c r="A72">
        <f>inventory_filament!A26</f>
        <v>124</v>
      </c>
      <c r="B72" s="20">
        <v>45652</v>
      </c>
      <c r="C72" t="s">
        <v>157</v>
      </c>
      <c r="D72" t="s">
        <v>136</v>
      </c>
      <c r="E72">
        <v>1</v>
      </c>
    </row>
    <row r="73" spans="1:5" x14ac:dyDescent="0.2">
      <c r="A73">
        <f>inventory_filament!A27</f>
        <v>125</v>
      </c>
      <c r="B73" s="20">
        <v>45652</v>
      </c>
      <c r="C73" t="s">
        <v>157</v>
      </c>
      <c r="D73" t="s">
        <v>136</v>
      </c>
      <c r="E73">
        <v>1</v>
      </c>
    </row>
    <row r="74" spans="1:5" x14ac:dyDescent="0.2">
      <c r="A74">
        <f>inventory_filament!A28</f>
        <v>126</v>
      </c>
      <c r="B74" s="20">
        <v>45652</v>
      </c>
      <c r="C74" t="s">
        <v>157</v>
      </c>
      <c r="D74" t="s">
        <v>136</v>
      </c>
      <c r="E74">
        <v>1</v>
      </c>
    </row>
    <row r="75" spans="1:5" x14ac:dyDescent="0.2">
      <c r="A75">
        <f>inventory_accessories!A13</f>
        <v>1011</v>
      </c>
      <c r="B75" s="20">
        <v>45653</v>
      </c>
      <c r="C75" t="s">
        <v>166</v>
      </c>
      <c r="D75" t="s">
        <v>2</v>
      </c>
      <c r="E75">
        <v>1</v>
      </c>
    </row>
    <row r="76" spans="1:5" x14ac:dyDescent="0.2">
      <c r="A76">
        <f>'inventroy_makers supply'!A2</f>
        <v>3000</v>
      </c>
      <c r="B76" s="20">
        <v>45653</v>
      </c>
      <c r="C76" t="s">
        <v>166</v>
      </c>
      <c r="D76" t="s">
        <v>2</v>
      </c>
      <c r="E76">
        <v>20</v>
      </c>
    </row>
    <row r="77" spans="1:5" x14ac:dyDescent="0.2">
      <c r="A77">
        <f>'inventroy_makers supply'!A3</f>
        <v>3001</v>
      </c>
      <c r="B77" s="20">
        <v>45653</v>
      </c>
      <c r="C77" t="s">
        <v>166</v>
      </c>
      <c r="D77" t="s">
        <v>2</v>
      </c>
      <c r="E77">
        <v>20</v>
      </c>
    </row>
    <row r="78" spans="1:5" x14ac:dyDescent="0.2">
      <c r="A78">
        <f>'inventroy_makers supply'!A4</f>
        <v>3002</v>
      </c>
      <c r="B78" s="20">
        <v>45653</v>
      </c>
      <c r="C78" t="s">
        <v>166</v>
      </c>
      <c r="D78" t="s">
        <v>2</v>
      </c>
      <c r="E78">
        <v>20</v>
      </c>
    </row>
    <row r="79" spans="1:5" x14ac:dyDescent="0.2">
      <c r="A79">
        <f>'inventroy_makers supply'!A5</f>
        <v>3003</v>
      </c>
      <c r="B79" s="20">
        <v>45653</v>
      </c>
      <c r="C79" t="s">
        <v>166</v>
      </c>
      <c r="D79" t="s">
        <v>2</v>
      </c>
      <c r="E79">
        <v>10</v>
      </c>
    </row>
    <row r="80" spans="1:5" x14ac:dyDescent="0.2">
      <c r="A80">
        <f>inventory_filament!A36</f>
        <v>134</v>
      </c>
      <c r="B80" s="20">
        <v>46192</v>
      </c>
      <c r="C80" t="s">
        <v>217</v>
      </c>
      <c r="D80" t="s">
        <v>137</v>
      </c>
      <c r="E80">
        <v>1</v>
      </c>
    </row>
  </sheetData>
  <sortState xmlns:xlrd2="http://schemas.microsoft.com/office/spreadsheetml/2017/richdata2" ref="A2:E80">
    <sortCondition ref="B2:B80"/>
  </sortState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19E691F-69BB-6647-B812-78B5A8DB2974}">
          <x14:formula1>
            <xm:f>'source data'!$B$72:$F$72</xm:f>
          </x14:formula1>
          <xm:sqref>D2:D80</xm:sqref>
        </x14:dataValidation>
        <x14:dataValidation type="list" allowBlank="1" showInputMessage="1" showErrorMessage="1" xr:uid="{8C6CF6A5-F78A-A249-B90A-294972ECEF4A}">
          <x14:formula1>
            <xm:f>'source data'!$B$70:$M$70</xm:f>
          </x14:formula1>
          <xm:sqref>B2:B80</xm:sqref>
        </x14:dataValidation>
        <x14:dataValidation type="list" allowBlank="1" showInputMessage="1" showErrorMessage="1" xr:uid="{E2D75F9D-44D6-1045-9CB2-1DC1F5F7C674}">
          <x14:formula1>
            <xm:f>'source data'!$B$71:$P$71</xm:f>
          </x14:formula1>
          <xm:sqref>C2:C80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source data</vt:lpstr>
      <vt:lpstr>inventory_printer</vt:lpstr>
      <vt:lpstr>inventory_AMS</vt:lpstr>
      <vt:lpstr>inventory_filament</vt:lpstr>
      <vt:lpstr>inventory_accessories</vt:lpstr>
      <vt:lpstr>inventory_material</vt:lpstr>
      <vt:lpstr>inventroy_makers supply</vt:lpstr>
      <vt:lpstr>purchases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Noble</dc:creator>
  <cp:lastModifiedBy>Erica Noble</cp:lastModifiedBy>
  <dcterms:created xsi:type="dcterms:W3CDTF">2026-06-19T20:58:46Z</dcterms:created>
  <dcterms:modified xsi:type="dcterms:W3CDTF">2026-06-20T12:48:03Z</dcterms:modified>
</cp:coreProperties>
</file>